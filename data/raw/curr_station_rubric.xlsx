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kylec\Downloads\i379c\bikeshare_analysis\data\raw\"/>
    </mc:Choice>
  </mc:AlternateContent>
  <xr:revisionPtr revIDLastSave="0" documentId="13_ncr:1_{27A357E4-9594-4C27-B435-740BF8C1330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" i="1" l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60" i="1"/>
  <c r="S65" i="1"/>
  <c r="G65" i="1"/>
  <c r="H65" i="1" s="1"/>
  <c r="S75" i="1"/>
  <c r="G75" i="1"/>
  <c r="H75" i="1" s="1"/>
  <c r="S74" i="1"/>
  <c r="G74" i="1"/>
  <c r="H74" i="1" s="1"/>
  <c r="S73" i="1"/>
  <c r="G73" i="1"/>
  <c r="H73" i="1" s="1"/>
  <c r="S72" i="1"/>
  <c r="G72" i="1"/>
  <c r="H72" i="1" s="1"/>
  <c r="S71" i="1"/>
  <c r="G71" i="1"/>
  <c r="H71" i="1" s="1"/>
  <c r="S70" i="1"/>
  <c r="S69" i="1"/>
  <c r="G69" i="1"/>
  <c r="H69" i="1" s="1"/>
  <c r="S68" i="1"/>
  <c r="G68" i="1"/>
  <c r="H68" i="1" s="1"/>
  <c r="S67" i="1"/>
  <c r="G67" i="1"/>
  <c r="H67" i="1" s="1"/>
  <c r="S66" i="1"/>
  <c r="G66" i="1"/>
  <c r="H66" i="1" s="1"/>
  <c r="S64" i="1"/>
  <c r="G64" i="1"/>
  <c r="H64" i="1" s="1"/>
  <c r="S63" i="1"/>
  <c r="G63" i="1"/>
  <c r="H63" i="1" s="1"/>
  <c r="S62" i="1"/>
  <c r="G62" i="1"/>
  <c r="H62" i="1" s="1"/>
  <c r="S61" i="1"/>
  <c r="G61" i="1"/>
  <c r="H61" i="1" s="1"/>
  <c r="S60" i="1"/>
  <c r="H60" i="1"/>
  <c r="S59" i="1"/>
  <c r="G59" i="1"/>
  <c r="H59" i="1" s="1"/>
  <c r="S58" i="1"/>
  <c r="G58" i="1"/>
  <c r="H58" i="1" s="1"/>
  <c r="S57" i="1"/>
  <c r="G57" i="1"/>
  <c r="H57" i="1" s="1"/>
  <c r="S56" i="1"/>
  <c r="G56" i="1"/>
  <c r="H56" i="1" s="1"/>
  <c r="S55" i="1"/>
  <c r="G55" i="1"/>
  <c r="H55" i="1" s="1"/>
  <c r="S54" i="1"/>
  <c r="G54" i="1"/>
  <c r="H54" i="1" s="1"/>
  <c r="S53" i="1"/>
  <c r="G53" i="1"/>
  <c r="H53" i="1" s="1"/>
  <c r="S52" i="1"/>
  <c r="G52" i="1"/>
  <c r="H52" i="1" s="1"/>
  <c r="S51" i="1"/>
  <c r="G51" i="1"/>
  <c r="H51" i="1" s="1"/>
  <c r="S50" i="1"/>
  <c r="G50" i="1"/>
  <c r="H50" i="1" s="1"/>
  <c r="S49" i="1"/>
  <c r="G49" i="1"/>
  <c r="H49" i="1" s="1"/>
  <c r="S48" i="1"/>
  <c r="G48" i="1"/>
  <c r="H48" i="1" s="1"/>
  <c r="S47" i="1"/>
  <c r="G47" i="1"/>
  <c r="H47" i="1" s="1"/>
  <c r="S46" i="1"/>
  <c r="G46" i="1"/>
  <c r="H46" i="1" s="1"/>
  <c r="S45" i="1"/>
  <c r="G45" i="1"/>
  <c r="H45" i="1" s="1"/>
  <c r="S44" i="1"/>
  <c r="G44" i="1"/>
  <c r="H44" i="1" s="1"/>
  <c r="S43" i="1"/>
  <c r="G43" i="1"/>
  <c r="H43" i="1" s="1"/>
  <c r="S42" i="1"/>
  <c r="G42" i="1"/>
  <c r="H42" i="1" s="1"/>
  <c r="S41" i="1"/>
  <c r="G41" i="1"/>
  <c r="H41" i="1" s="1"/>
  <c r="S40" i="1"/>
  <c r="G40" i="1"/>
  <c r="H40" i="1" s="1"/>
  <c r="S39" i="1"/>
  <c r="G39" i="1"/>
  <c r="H39" i="1" s="1"/>
  <c r="S38" i="1"/>
  <c r="G38" i="1"/>
  <c r="H38" i="1" s="1"/>
  <c r="S37" i="1"/>
  <c r="G37" i="1"/>
  <c r="H37" i="1" s="1"/>
  <c r="S36" i="1"/>
  <c r="G36" i="1"/>
  <c r="H36" i="1" s="1"/>
  <c r="S35" i="1"/>
  <c r="G35" i="1"/>
  <c r="H35" i="1" s="1"/>
  <c r="S34" i="1"/>
  <c r="G34" i="1"/>
  <c r="H34" i="1" s="1"/>
  <c r="S33" i="1"/>
  <c r="G33" i="1"/>
  <c r="H33" i="1" s="1"/>
  <c r="S32" i="1"/>
  <c r="G32" i="1"/>
  <c r="H32" i="1" s="1"/>
  <c r="S31" i="1"/>
  <c r="G31" i="1"/>
  <c r="H31" i="1" s="1"/>
  <c r="S30" i="1"/>
  <c r="G30" i="1"/>
  <c r="H30" i="1" s="1"/>
  <c r="S29" i="1"/>
  <c r="G29" i="1"/>
  <c r="H29" i="1" s="1"/>
  <c r="S28" i="1"/>
  <c r="G28" i="1"/>
  <c r="H28" i="1" s="1"/>
  <c r="S27" i="1"/>
  <c r="G27" i="1"/>
  <c r="H27" i="1" s="1"/>
  <c r="S26" i="1"/>
  <c r="G26" i="1"/>
  <c r="H26" i="1" s="1"/>
  <c r="S25" i="1"/>
  <c r="G25" i="1"/>
  <c r="H25" i="1" s="1"/>
  <c r="S24" i="1"/>
  <c r="G24" i="1"/>
  <c r="H24" i="1" s="1"/>
  <c r="S23" i="1"/>
  <c r="G23" i="1"/>
  <c r="H23" i="1" s="1"/>
  <c r="S22" i="1"/>
  <c r="G22" i="1"/>
  <c r="H22" i="1" s="1"/>
  <c r="S21" i="1"/>
  <c r="G21" i="1"/>
  <c r="H21" i="1" s="1"/>
  <c r="S20" i="1"/>
  <c r="G20" i="1"/>
  <c r="H20" i="1" s="1"/>
  <c r="S19" i="1"/>
  <c r="G19" i="1"/>
  <c r="H19" i="1" s="1"/>
  <c r="S18" i="1"/>
  <c r="G18" i="1"/>
  <c r="H18" i="1" s="1"/>
  <c r="S17" i="1"/>
  <c r="G17" i="1"/>
  <c r="H17" i="1" s="1"/>
  <c r="S16" i="1"/>
  <c r="G16" i="1"/>
  <c r="H16" i="1" s="1"/>
  <c r="S15" i="1"/>
  <c r="G15" i="1"/>
  <c r="H15" i="1" s="1"/>
  <c r="S14" i="1"/>
  <c r="G14" i="1"/>
  <c r="H14" i="1" s="1"/>
  <c r="S13" i="1"/>
  <c r="G13" i="1"/>
  <c r="H13" i="1" s="1"/>
  <c r="S12" i="1"/>
  <c r="G12" i="1"/>
  <c r="H12" i="1" s="1"/>
  <c r="S11" i="1"/>
  <c r="S10" i="1"/>
  <c r="G10" i="1"/>
  <c r="H10" i="1" s="1"/>
  <c r="S9" i="1"/>
  <c r="G9" i="1"/>
  <c r="H9" i="1" s="1"/>
  <c r="S8" i="1"/>
  <c r="G8" i="1"/>
  <c r="H8" i="1" s="1"/>
  <c r="S7" i="1"/>
  <c r="G7" i="1"/>
  <c r="H7" i="1" s="1"/>
  <c r="S6" i="1"/>
  <c r="G6" i="1"/>
  <c r="H6" i="1" s="1"/>
  <c r="S5" i="1"/>
  <c r="G5" i="1"/>
  <c r="H5" i="1" s="1"/>
  <c r="S4" i="1"/>
  <c r="G4" i="1"/>
  <c r="H4" i="1" s="1"/>
  <c r="G11" i="1" l="1"/>
  <c r="H11" i="1" s="1"/>
  <c r="G70" i="1"/>
  <c r="H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tc={72852438-708B-402D-9A1A-5A80E737A3C1}</author>
  </authors>
  <commentList>
    <comment ref="C77" authorId="0" shapeId="0" xr:uid="{72852438-708B-402D-9A1A-5A80E737A3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@Boone, Jake - lets rescore these; the earlier metrics were all off so lets star from scratch. completed next week is fine
Reply:
    @Boone, Jake  update this section for scoring</t>
      </text>
    </comment>
  </commentList>
</comments>
</file>

<file path=xl/sharedStrings.xml><?xml version="1.0" encoding="utf-8"?>
<sst xmlns="http://schemas.openxmlformats.org/spreadsheetml/2006/main" count="109" uniqueCount="104">
  <si>
    <t>FISCAL YEAR '25</t>
  </si>
  <si>
    <t>Oct-Sept</t>
  </si>
  <si>
    <t>id</t>
  </si>
  <si>
    <t>Active Date</t>
  </si>
  <si>
    <t>name</t>
  </si>
  <si>
    <t>Districts</t>
  </si>
  <si>
    <t>total Checkouts</t>
  </si>
  <si>
    <t>total Docks</t>
  </si>
  <si>
    <t>trips per dock</t>
  </si>
  <si>
    <t>trips per dock/day</t>
  </si>
  <si>
    <t>EBS STATION</t>
  </si>
  <si>
    <t xml:space="preserve">Checkouts Rankings; per day &gt;5=3; 2-5=2; &lt;1=1 </t>
  </si>
  <si>
    <t>Co-locate to Transit (at transit =3; &lt;1/4 mi = 2; &gt;1/4 mi = 1)</t>
  </si>
  <si>
    <t>Access to Jobs (Major employment hubs)  (1/4 mi = 3; 1/2 mi = 2; &gt;1/2 = 1)</t>
  </si>
  <si>
    <t>Access to Households  (1/4 mi = 3; 1/2 mi = 2;  &gt;1/2 = 1)</t>
  </si>
  <si>
    <t>Access to low income residents (1/4 mi = 3; 1/2 mi = 2; &gt;1/2 = 1)</t>
  </si>
  <si>
    <t>Access to Public amenities (libraries, schools, Rec Centers, parks)  (1/4 mi = 3; 1/2 mi = 2; &gt;1/2 = 1)</t>
  </si>
  <si>
    <t>Bikeable infrastructure (rider saftey)  (1/4 mi = 3; 1/2 mi = 2; &gt;1/2 = 1)</t>
  </si>
  <si>
    <t>Access to retail or entertainment  (1/4 mi = 3; 1/2 mi = 2; &gt;1/2 = 1)</t>
  </si>
  <si>
    <t>Access to existing Bikeshare footprint - 1/4 mi = 3; 1/2 mi = 2; &gt;1/2 = 1</t>
  </si>
  <si>
    <t>Total Score</t>
  </si>
  <si>
    <t>Barton Springs Pool</t>
  </si>
  <si>
    <t>Barton Springs/Azie Morton</t>
  </si>
  <si>
    <t>✓</t>
  </si>
  <si>
    <t>Barton Springs/Kinney</t>
  </si>
  <si>
    <t>Cesar Chavez/Congress</t>
  </si>
  <si>
    <t>Dean Keeton/Park Place</t>
  </si>
  <si>
    <t>Dean Keeton/Robert Dedman Dr</t>
  </si>
  <si>
    <t>Dean Keeton/Speedway</t>
  </si>
  <si>
    <t>Dean Keeton/Whitis</t>
  </si>
  <si>
    <t>E 10th/Red River</t>
  </si>
  <si>
    <t>E 11th/Salina</t>
  </si>
  <si>
    <t>E 11th/San Jacinto</t>
  </si>
  <si>
    <t>E 11th/San Marcos</t>
  </si>
  <si>
    <t>E 11th/Waller</t>
  </si>
  <si>
    <t>E 2nd/Congress</t>
  </si>
  <si>
    <t>E 2nd/Pedernales</t>
  </si>
  <si>
    <t>E 4th/Chicon</t>
  </si>
  <si>
    <t>E 5th/Broadway</t>
  </si>
  <si>
    <t>E 6th/Chalmers</t>
  </si>
  <si>
    <t>E 6th/Chicon</t>
  </si>
  <si>
    <t>E 6th/Medina</t>
  </si>
  <si>
    <t>E 6th/Pedernales</t>
  </si>
  <si>
    <t>E 8th/Lavaca</t>
  </si>
  <si>
    <t>E 8th/Red River</t>
  </si>
  <si>
    <t>E 8th/Trinity</t>
  </si>
  <si>
    <t>Hollow Creek/Barton Hills</t>
  </si>
  <si>
    <t>Lake Austin Blvd/Deep Eddy</t>
  </si>
  <si>
    <t>Lakeshore/Lady Bird Ln.</t>
  </si>
  <si>
    <t>Lakeshore/Pleasant Valley</t>
  </si>
  <si>
    <t>One Texas Center</t>
  </si>
  <si>
    <t xml:space="preserve">Plaza Saltillo	</t>
  </si>
  <si>
    <t xml:space="preserve">Rainey/Cummings	</t>
  </si>
  <si>
    <t>Rainey/Driskill</t>
  </si>
  <si>
    <t>Riverside/South Lamar</t>
  </si>
  <si>
    <t>Rosewood/Angelina</t>
  </si>
  <si>
    <t>South Congress/Academy</t>
  </si>
  <si>
    <t>South Congress/Barton Springs</t>
  </si>
  <si>
    <t>South Congress/Elizabeth</t>
  </si>
  <si>
    <t>South Congress/James</t>
  </si>
  <si>
    <t>South Congress/Mary</t>
  </si>
  <si>
    <t xml:space="preserve">W 16th/San Antonio </t>
  </si>
  <si>
    <t>W 21st/Guadalupe</t>
  </si>
  <si>
    <t>W 21st/University</t>
  </si>
  <si>
    <t>W 22.5/Rio Grande</t>
  </si>
  <si>
    <t>W 22nd/Pearl</t>
  </si>
  <si>
    <t>W 23rd/San Gabriel</t>
  </si>
  <si>
    <t>W 26th/Nueces</t>
  </si>
  <si>
    <t>W 28th/Rio Grande</t>
  </si>
  <si>
    <t>W 3rd/Nueces</t>
  </si>
  <si>
    <t>W 3rd/West</t>
  </si>
  <si>
    <t>W 4th/Congress</t>
  </si>
  <si>
    <t>W 5th/Bowie</t>
  </si>
  <si>
    <t>W 5th/Campbell</t>
  </si>
  <si>
    <t>W 7th/Congress (W 6th/Congress)</t>
  </si>
  <si>
    <t>W 6th/Lavaca</t>
  </si>
  <si>
    <t>W 6th/West</t>
  </si>
  <si>
    <t>W 8th/Congress</t>
  </si>
  <si>
    <t>W 9th/Henderson</t>
  </si>
  <si>
    <t>Zilker Park</t>
  </si>
  <si>
    <t>added docks</t>
  </si>
  <si>
    <t>PROJECTED RUBRIC SCORE</t>
  </si>
  <si>
    <t>30th/Whitis</t>
  </si>
  <si>
    <t xml:space="preserve">E 7th/Pleasant Valley </t>
  </si>
  <si>
    <t>E 8th/San Jacinto</t>
  </si>
  <si>
    <t xml:space="preserve">E Cesar Chavez/Pleasant Valley </t>
  </si>
  <si>
    <t>Webberville/Northwestern</t>
  </si>
  <si>
    <t>STATION STATUS - EFFICIENCY</t>
  </si>
  <si>
    <t>Barton Springs/Bouldin@Palmer Auditorium</t>
  </si>
  <si>
    <t>E 12th/San Jacinto@State Cap Visitors Garage</t>
  </si>
  <si>
    <t>E 13th/Trinity@Waterloo Greenway</t>
  </si>
  <si>
    <t>E 21st/Speedway@PCL</t>
  </si>
  <si>
    <t>E 23rd/San Jacinto@DKR Stadium</t>
  </si>
  <si>
    <t>E 5th/Neches@Downtown Station</t>
  </si>
  <si>
    <t>Electric Drive@Pfluger Ped Bridge</t>
  </si>
  <si>
    <t>Guadalupe/West Mall@University Co-op</t>
  </si>
  <si>
    <t>Nash Hernandez/East@RBJ South</t>
  </si>
  <si>
    <t>S 1st/Riverside@Long Center</t>
  </si>
  <si>
    <t>South Congress@Bouldin Creek</t>
  </si>
  <si>
    <t>Veterans/Atlanta@MoPac Ped Bridge</t>
  </si>
  <si>
    <t>W 11th/Congress@The Texas Capitol</t>
  </si>
  <si>
    <t>W 2nd/Lavaca@City Hall</t>
  </si>
  <si>
    <t>W 4th/Guadalupe@Republic Square</t>
  </si>
  <si>
    <t>E 5th/Shady@Eastside Bus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</si>
</sst>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Wingdings"/>
    </font>
    <font>
      <b/>
      <sz val="12"/>
      <color rgb="FF000000"/>
      <name val="Aptos Narrow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1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4" fillId="0" borderId="1" xfId="0" applyFont="1" applyBorder="1"/>
    <xf numFmtId="0" fontId="1" fillId="0" borderId="0" xfId="0" applyFont="1"/>
    <xf numFmtId="14" fontId="0" fillId="0" borderId="0" xfId="0" applyNumberFormat="1"/>
    <xf numFmtId="14" fontId="4" fillId="0" borderId="0" xfId="0" applyNumberFormat="1" applyFont="1"/>
    <xf numFmtId="0" fontId="0" fillId="4" borderId="1" xfId="0" applyFill="1" applyBorder="1"/>
    <xf numFmtId="0" fontId="6" fillId="4" borderId="0" xfId="0" applyFont="1" applyFill="1"/>
    <xf numFmtId="0" fontId="5" fillId="3" borderId="1" xfId="0" applyFont="1" applyFill="1" applyBorder="1"/>
    <xf numFmtId="0" fontId="5" fillId="3" borderId="3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2" fillId="5" borderId="1" xfId="0" applyFont="1" applyFill="1" applyBorder="1" applyAlignment="1">
      <alignment wrapText="1"/>
    </xf>
    <xf numFmtId="0" fontId="1" fillId="2" borderId="0" xfId="0" applyFont="1" applyFill="1"/>
    <xf numFmtId="0" fontId="0" fillId="0" borderId="5" xfId="0" applyBorder="1"/>
    <xf numFmtId="0" fontId="5" fillId="3" borderId="5" xfId="0" applyFont="1" applyFill="1" applyBorder="1"/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 applyAlignment="1">
      <alignment horizontal="center"/>
    </xf>
    <xf numFmtId="0" fontId="0" fillId="0" borderId="6" xfId="0" applyBorder="1"/>
    <xf numFmtId="0" fontId="5" fillId="3" borderId="6" xfId="0" applyFont="1" applyFill="1" applyBorder="1"/>
    <xf numFmtId="0" fontId="5" fillId="3" borderId="6" xfId="0" applyFont="1" applyFill="1" applyBorder="1" applyAlignment="1">
      <alignment wrapText="1"/>
    </xf>
    <xf numFmtId="0" fontId="5" fillId="3" borderId="6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0" fillId="7" borderId="1" xfId="0" applyFill="1" applyBorder="1"/>
    <xf numFmtId="0" fontId="7" fillId="0" borderId="0" xfId="0" applyFont="1"/>
    <xf numFmtId="0" fontId="8" fillId="0" borderId="1" xfId="0" applyFont="1" applyBorder="1" applyAlignment="1">
      <alignment horizontal="center"/>
    </xf>
    <xf numFmtId="2" fontId="0" fillId="0" borderId="4" xfId="0" applyNumberFormat="1" applyBorder="1"/>
    <xf numFmtId="0" fontId="1" fillId="0" borderId="2" xfId="0" applyFont="1" applyBorder="1" applyAlignment="1">
      <alignment horizontal="center"/>
    </xf>
    <xf numFmtId="0" fontId="9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84D8B0D9-97DC-4E3F-9F7A-0B8D7A27A770}">
    <Anchor>
      <Comment id="{72852438-708B-402D-9A1A-5A80E737A3C1}"/>
    </Anchor>
    <History>
      <Event time="2026-02-09T23:16:52.99" id="{077A9EE1-969E-4638-9E57-60DC024B98E4}">
        <Attribution userId="S::jd.simpson@capmetro.org::6772a46b-68d9-4668-aab9-2b48f9b6e1b4" userName="Simpson, JD" userProvider="AD"/>
        <Anchor>
          <Comment id="{72852438-708B-402D-9A1A-5A80E737A3C1}"/>
        </Anchor>
        <Create/>
      </Event>
      <Event time="2026-02-09T23:16:52.99" id="{9EB75A9F-505A-4F36-A43B-C65413751F2C}">
        <Attribution userId="S::jd.simpson@capmetro.org::6772a46b-68d9-4668-aab9-2b48f9b6e1b4" userName="Simpson, JD" userProvider="AD"/>
        <Anchor>
          <Comment id="{72852438-708B-402D-9A1A-5A80E737A3C1}"/>
        </Anchor>
        <Assign userId="S::Jake.Boone@capmetro.org::e755e386-8d76-4744-9338-f30477fcefcd" userName="Boone, Jake" userProvider="AD"/>
      </Event>
      <Event time="2026-02-09T23:16:52.99" id="{2B68044C-BBA7-46BE-8FDE-8627C5EC7AA0}">
        <Attribution userId="S::jd.simpson@capmetro.org::6772a46b-68d9-4668-aab9-2b48f9b6e1b4" userName="Simpson, JD" userProvider="AD"/>
        <Anchor>
          <Comment id="{72852438-708B-402D-9A1A-5A80E737A3C1}"/>
        </Anchor>
        <SetTitle title="@Boone, Jake - lets rescore these; the earlier metrics were all off so lets star from scratch. completed next week is fine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Boone, Jake" id="{68F41BB6-DE4C-4616-A947-12F324080492}" userId="Jake.Boone@capmetro.org" providerId="PeoplePicker"/>
  <person displayName="Simpson, JD" id="{E272F5E9-9977-414F-9E5B-E6891785D1B9}" userId="S::jd.simpson@capmetro.org::6772a46b-68d9-4668-aab9-2b48f9b6e1b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7" dT="2026-02-09T23:16:52.48" personId="{E272F5E9-9977-414F-9E5B-E6891785D1B9}" id="{72852438-708B-402D-9A1A-5A80E737A3C1}">
    <text>@Boone, Jake - lets rescore these; the earlier metrics were all off so lets star from scratch. completed next week is fine</text>
    <mentions>
      <mention mentionpersonId="{68F41BB6-DE4C-4616-A947-12F324080492}" mentionId="{3AB9AA13-402A-4411-9A77-686E4628E136}" startIndex="0" length="12"/>
    </mentions>
  </threadedComment>
  <threadedComment ref="C77" dT="2026-02-16T17:27:42.30" personId="{E272F5E9-9977-414F-9E5B-E6891785D1B9}" id="{7FD08AD0-354E-4B7E-BE1D-5C78ED3D8E8E}" parentId="{72852438-708B-402D-9A1A-5A80E737A3C1}">
    <text>@Boone, Jake  update this section for scoring</text>
    <mentions>
      <mention mentionpersonId="{68F41BB6-DE4C-4616-A947-12F324080492}" mentionId="{131590B1-94CE-4468-9589-D685EBC36745}" startIndex="0" length="1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Veterans/Atlanta@MoPac%20Ped%20Bridge" TargetMode="Externa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87"/>
  <sheetViews>
    <sheetView tabSelected="1" workbookViewId="0">
      <pane ySplit="3" topLeftCell="A4" activePane="bottomLeft" state="frozen"/>
      <selection pane="bottomLeft" activeCell="H8" sqref="H8"/>
    </sheetView>
  </sheetViews>
  <sheetFormatPr defaultRowHeight="14.4"/>
  <cols>
    <col min="2" max="2" width="18.33203125" customWidth="1"/>
    <col min="3" max="3" width="32.109375" customWidth="1"/>
    <col min="4" max="4" width="15.6640625" customWidth="1"/>
    <col min="5" max="5" width="11" customWidth="1"/>
    <col min="6" max="6" width="12.44140625" customWidth="1"/>
    <col min="10" max="10" width="17.33203125" customWidth="1"/>
    <col min="11" max="19" width="18.44140625" customWidth="1"/>
    <col min="20" max="20" width="18" customWidth="1"/>
    <col min="23" max="23" width="16.88671875" customWidth="1"/>
  </cols>
  <sheetData>
    <row r="2" spans="1:19" ht="30" customHeight="1">
      <c r="A2" s="1"/>
      <c r="B2" s="1"/>
      <c r="C2" s="1"/>
      <c r="D2" s="39" t="s">
        <v>0</v>
      </c>
      <c r="E2" s="1" t="s">
        <v>1</v>
      </c>
      <c r="F2" s="2"/>
      <c r="G2" s="2"/>
      <c r="H2" s="13">
        <v>360</v>
      </c>
      <c r="I2" s="13"/>
      <c r="J2" s="5"/>
      <c r="K2" s="45"/>
      <c r="L2" s="45"/>
      <c r="M2" s="45"/>
      <c r="N2" s="45"/>
      <c r="O2" s="45"/>
      <c r="P2" s="45"/>
      <c r="Q2" s="45"/>
      <c r="R2" s="45"/>
      <c r="S2" s="45"/>
    </row>
    <row r="3" spans="1:19" ht="104.25" customHeight="1">
      <c r="A3" s="3" t="s">
        <v>2</v>
      </c>
      <c r="B3" s="3" t="s">
        <v>3</v>
      </c>
      <c r="C3" s="2" t="s">
        <v>4</v>
      </c>
      <c r="D3" s="3" t="s">
        <v>5</v>
      </c>
      <c r="E3" s="40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28" t="s">
        <v>11</v>
      </c>
      <c r="K3" s="6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8" t="s">
        <v>20</v>
      </c>
    </row>
    <row r="4" spans="1:19">
      <c r="A4" s="14">
        <v>36</v>
      </c>
      <c r="B4" s="19">
        <v>45497</v>
      </c>
      <c r="C4" s="15" t="s">
        <v>21</v>
      </c>
      <c r="D4" s="1">
        <v>8</v>
      </c>
      <c r="E4" s="5">
        <v>2541</v>
      </c>
      <c r="F4" s="5">
        <v>11</v>
      </c>
      <c r="G4" s="9">
        <f t="shared" ref="G4:G10" si="0">E4/F4</f>
        <v>231</v>
      </c>
      <c r="H4" s="10">
        <f t="shared" ref="H4:H35" si="1">G4/$H$2</f>
        <v>0.64166666666666672</v>
      </c>
      <c r="I4" s="10"/>
      <c r="J4" s="1">
        <v>1</v>
      </c>
      <c r="K4" s="11">
        <v>2</v>
      </c>
      <c r="L4" s="1">
        <v>1</v>
      </c>
      <c r="M4" s="1">
        <v>1</v>
      </c>
      <c r="N4" s="1">
        <v>1</v>
      </c>
      <c r="O4" s="1">
        <v>3</v>
      </c>
      <c r="P4" s="1">
        <v>2</v>
      </c>
      <c r="Q4" s="1">
        <v>3</v>
      </c>
      <c r="R4" s="12">
        <v>3</v>
      </c>
      <c r="S4" s="5">
        <f t="shared" ref="S4:S35" si="2">SUM(J4:R4)</f>
        <v>17</v>
      </c>
    </row>
    <row r="5" spans="1:19" ht="15.6">
      <c r="A5" s="14">
        <v>39</v>
      </c>
      <c r="B5" s="19">
        <v>45610</v>
      </c>
      <c r="C5" s="15" t="s">
        <v>22</v>
      </c>
      <c r="D5" s="1">
        <v>9</v>
      </c>
      <c r="E5" s="5">
        <v>2389</v>
      </c>
      <c r="F5" s="5">
        <v>15</v>
      </c>
      <c r="G5" s="9">
        <f t="shared" si="0"/>
        <v>159.26666666666668</v>
      </c>
      <c r="H5" s="10">
        <f t="shared" si="1"/>
        <v>0.44240740740740747</v>
      </c>
      <c r="I5" s="43" t="s">
        <v>23</v>
      </c>
      <c r="J5" s="1">
        <v>2</v>
      </c>
      <c r="K5" s="11">
        <v>3</v>
      </c>
      <c r="L5" s="1">
        <v>3</v>
      </c>
      <c r="M5" s="1">
        <v>2</v>
      </c>
      <c r="N5" s="1">
        <v>1</v>
      </c>
      <c r="O5" s="1">
        <v>2</v>
      </c>
      <c r="P5" s="1">
        <v>2</v>
      </c>
      <c r="Q5" s="1">
        <v>3</v>
      </c>
      <c r="R5" s="12">
        <v>3</v>
      </c>
      <c r="S5" s="5">
        <f t="shared" si="2"/>
        <v>21</v>
      </c>
    </row>
    <row r="6" spans="1:19">
      <c r="A6" s="14">
        <v>37</v>
      </c>
      <c r="B6" s="19">
        <v>45497</v>
      </c>
      <c r="C6" s="15" t="s">
        <v>88</v>
      </c>
      <c r="D6" s="1">
        <v>9</v>
      </c>
      <c r="E6" s="5">
        <v>3425</v>
      </c>
      <c r="F6" s="5">
        <v>15</v>
      </c>
      <c r="G6" s="9">
        <f t="shared" si="0"/>
        <v>228.33333333333334</v>
      </c>
      <c r="H6" s="10">
        <f t="shared" si="1"/>
        <v>0.6342592592592593</v>
      </c>
      <c r="I6" s="10"/>
      <c r="J6" s="1">
        <v>2</v>
      </c>
      <c r="K6" s="11">
        <v>3</v>
      </c>
      <c r="L6" s="1">
        <v>2</v>
      </c>
      <c r="M6" s="1">
        <v>2</v>
      </c>
      <c r="N6" s="1">
        <v>1</v>
      </c>
      <c r="O6" s="1">
        <v>3</v>
      </c>
      <c r="P6" s="1">
        <v>3</v>
      </c>
      <c r="Q6" s="1">
        <v>3</v>
      </c>
      <c r="R6" s="12">
        <v>3</v>
      </c>
      <c r="S6" s="5">
        <f t="shared" si="2"/>
        <v>22</v>
      </c>
    </row>
    <row r="7" spans="1:19">
      <c r="A7" s="14">
        <v>38</v>
      </c>
      <c r="B7" s="19">
        <v>45610</v>
      </c>
      <c r="C7" s="15" t="s">
        <v>24</v>
      </c>
      <c r="D7" s="1">
        <v>9</v>
      </c>
      <c r="E7" s="5">
        <v>1982</v>
      </c>
      <c r="F7" s="5">
        <v>11</v>
      </c>
      <c r="G7" s="9">
        <f t="shared" si="0"/>
        <v>180.18181818181819</v>
      </c>
      <c r="H7" s="10">
        <f t="shared" si="1"/>
        <v>0.50050505050505056</v>
      </c>
      <c r="I7" s="10"/>
      <c r="J7" s="1">
        <v>1</v>
      </c>
      <c r="K7" s="11">
        <v>3</v>
      </c>
      <c r="L7" s="1">
        <v>3</v>
      </c>
      <c r="M7" s="1">
        <v>2</v>
      </c>
      <c r="N7" s="1">
        <v>1</v>
      </c>
      <c r="O7" s="1">
        <v>2</v>
      </c>
      <c r="P7" s="1">
        <v>3</v>
      </c>
      <c r="Q7" s="1">
        <v>3</v>
      </c>
      <c r="R7" s="12">
        <v>3</v>
      </c>
      <c r="S7" s="5">
        <f t="shared" si="2"/>
        <v>21</v>
      </c>
    </row>
    <row r="8" spans="1:19">
      <c r="A8" s="14">
        <v>41</v>
      </c>
      <c r="B8" s="19">
        <v>45610</v>
      </c>
      <c r="C8" s="15" t="s">
        <v>25</v>
      </c>
      <c r="D8" s="1">
        <v>9</v>
      </c>
      <c r="E8" s="5">
        <v>2711</v>
      </c>
      <c r="F8" s="5">
        <v>11</v>
      </c>
      <c r="G8" s="9">
        <f t="shared" si="0"/>
        <v>246.45454545454547</v>
      </c>
      <c r="H8" s="10">
        <f t="shared" si="1"/>
        <v>0.68459595959595965</v>
      </c>
      <c r="I8" s="10"/>
      <c r="J8" s="1">
        <v>2</v>
      </c>
      <c r="K8" s="11">
        <v>3</v>
      </c>
      <c r="L8" s="1">
        <v>3</v>
      </c>
      <c r="M8" s="1">
        <v>2</v>
      </c>
      <c r="N8" s="1">
        <v>1</v>
      </c>
      <c r="O8" s="1">
        <v>1</v>
      </c>
      <c r="P8" s="1">
        <v>3</v>
      </c>
      <c r="Q8" s="1">
        <v>2</v>
      </c>
      <c r="R8" s="12">
        <v>3</v>
      </c>
      <c r="S8" s="5">
        <f t="shared" si="2"/>
        <v>20</v>
      </c>
    </row>
    <row r="9" spans="1:19">
      <c r="A9" s="14">
        <v>42</v>
      </c>
      <c r="B9" s="19">
        <v>45497</v>
      </c>
      <c r="C9" s="15" t="s">
        <v>26</v>
      </c>
      <c r="D9" s="1">
        <v>9</v>
      </c>
      <c r="E9" s="5">
        <v>2997</v>
      </c>
      <c r="F9" s="5">
        <v>15</v>
      </c>
      <c r="G9" s="9">
        <f t="shared" si="0"/>
        <v>199.8</v>
      </c>
      <c r="H9" s="10">
        <f t="shared" si="1"/>
        <v>0.55500000000000005</v>
      </c>
      <c r="I9" s="10"/>
      <c r="J9" s="1">
        <v>2</v>
      </c>
      <c r="K9" s="11">
        <v>3</v>
      </c>
      <c r="L9" s="1">
        <v>3</v>
      </c>
      <c r="M9" s="1">
        <v>3</v>
      </c>
      <c r="N9" s="1">
        <v>2</v>
      </c>
      <c r="O9" s="1">
        <v>1</v>
      </c>
      <c r="P9" s="11">
        <v>3</v>
      </c>
      <c r="Q9" s="1">
        <v>2</v>
      </c>
      <c r="R9" s="12">
        <v>3</v>
      </c>
      <c r="S9" s="5">
        <f t="shared" si="2"/>
        <v>22</v>
      </c>
    </row>
    <row r="10" spans="1:19">
      <c r="A10" s="14">
        <v>87</v>
      </c>
      <c r="B10" s="19">
        <v>45610</v>
      </c>
      <c r="C10" s="15" t="s">
        <v>27</v>
      </c>
      <c r="D10" s="1">
        <v>1</v>
      </c>
      <c r="E10" s="5">
        <v>2100</v>
      </c>
      <c r="F10" s="5">
        <v>11</v>
      </c>
      <c r="G10" s="9">
        <f t="shared" si="0"/>
        <v>190.90909090909091</v>
      </c>
      <c r="H10" s="10">
        <f t="shared" si="1"/>
        <v>0.53030303030303028</v>
      </c>
      <c r="I10" s="10"/>
      <c r="J10" s="1">
        <v>2</v>
      </c>
      <c r="K10" s="11">
        <v>3</v>
      </c>
      <c r="L10" s="1">
        <v>3</v>
      </c>
      <c r="M10" s="1">
        <v>2</v>
      </c>
      <c r="N10" s="1">
        <v>1</v>
      </c>
      <c r="O10" s="1">
        <v>1</v>
      </c>
      <c r="P10" s="1">
        <v>3</v>
      </c>
      <c r="Q10" s="1">
        <v>2</v>
      </c>
      <c r="R10" s="12">
        <v>3</v>
      </c>
      <c r="S10" s="5">
        <f t="shared" si="2"/>
        <v>20</v>
      </c>
    </row>
    <row r="11" spans="1:19">
      <c r="A11" s="14">
        <v>43</v>
      </c>
      <c r="B11" s="19">
        <v>45497</v>
      </c>
      <c r="C11" s="15" t="s">
        <v>28</v>
      </c>
      <c r="D11" s="1">
        <v>9</v>
      </c>
      <c r="E11" s="5">
        <v>21964</v>
      </c>
      <c r="F11" s="20">
        <v>23</v>
      </c>
      <c r="G11" s="9">
        <f>E11/19</f>
        <v>1156</v>
      </c>
      <c r="H11" s="10">
        <f t="shared" si="1"/>
        <v>3.2111111111111112</v>
      </c>
      <c r="I11" s="10"/>
      <c r="J11" s="1">
        <v>3</v>
      </c>
      <c r="K11" s="11">
        <v>3</v>
      </c>
      <c r="L11" s="1">
        <v>3</v>
      </c>
      <c r="M11" s="1">
        <v>3</v>
      </c>
      <c r="N11" s="1">
        <v>2</v>
      </c>
      <c r="O11" s="1">
        <v>3</v>
      </c>
      <c r="P11" s="1">
        <v>3</v>
      </c>
      <c r="Q11" s="1">
        <v>2</v>
      </c>
      <c r="R11" s="12">
        <v>3</v>
      </c>
      <c r="S11" s="5">
        <f t="shared" si="2"/>
        <v>25</v>
      </c>
    </row>
    <row r="12" spans="1:19">
      <c r="A12" s="14">
        <v>44</v>
      </c>
      <c r="B12" s="19">
        <v>45497</v>
      </c>
      <c r="C12" s="15" t="s">
        <v>29</v>
      </c>
      <c r="D12" s="1">
        <v>9</v>
      </c>
      <c r="E12" s="5">
        <v>15820</v>
      </c>
      <c r="F12" s="5">
        <v>19</v>
      </c>
      <c r="G12" s="9">
        <f t="shared" ref="G12:G59" si="3">E12/F12</f>
        <v>832.63157894736844</v>
      </c>
      <c r="H12" s="10">
        <f t="shared" si="1"/>
        <v>2.3128654970760234</v>
      </c>
      <c r="I12" s="10"/>
      <c r="J12" s="1">
        <v>3</v>
      </c>
      <c r="K12" s="11">
        <v>3</v>
      </c>
      <c r="L12" s="1">
        <v>3</v>
      </c>
      <c r="M12" s="1">
        <v>2</v>
      </c>
      <c r="N12" s="1">
        <v>2</v>
      </c>
      <c r="O12" s="1">
        <v>2</v>
      </c>
      <c r="P12" s="1">
        <v>3</v>
      </c>
      <c r="Q12" s="1">
        <v>2</v>
      </c>
      <c r="R12" s="12">
        <v>3</v>
      </c>
      <c r="S12" s="5">
        <f t="shared" si="2"/>
        <v>23</v>
      </c>
    </row>
    <row r="13" spans="1:19">
      <c r="A13" s="14">
        <v>1</v>
      </c>
      <c r="B13" s="19">
        <v>45497</v>
      </c>
      <c r="C13" s="15" t="s">
        <v>30</v>
      </c>
      <c r="D13" s="1">
        <v>9</v>
      </c>
      <c r="E13" s="5">
        <v>1435</v>
      </c>
      <c r="F13" s="5">
        <v>15</v>
      </c>
      <c r="G13" s="9">
        <f t="shared" si="3"/>
        <v>95.666666666666671</v>
      </c>
      <c r="H13" s="10">
        <f t="shared" si="1"/>
        <v>0.26574074074074078</v>
      </c>
      <c r="I13" s="10"/>
      <c r="J13" s="1">
        <v>1</v>
      </c>
      <c r="K13" s="11">
        <v>3</v>
      </c>
      <c r="L13" s="1">
        <v>3</v>
      </c>
      <c r="M13" s="1">
        <v>2</v>
      </c>
      <c r="N13" s="1">
        <v>1</v>
      </c>
      <c r="O13" s="1">
        <v>1</v>
      </c>
      <c r="P13" s="1">
        <v>2</v>
      </c>
      <c r="Q13" s="1">
        <v>3</v>
      </c>
      <c r="R13" s="12">
        <v>3</v>
      </c>
      <c r="S13" s="5">
        <f t="shared" si="2"/>
        <v>19</v>
      </c>
    </row>
    <row r="14" spans="1:19">
      <c r="A14" s="14">
        <v>3</v>
      </c>
      <c r="B14" s="19">
        <v>45499</v>
      </c>
      <c r="C14" s="15" t="s">
        <v>31</v>
      </c>
      <c r="D14" s="1">
        <v>1</v>
      </c>
      <c r="E14" s="5">
        <v>853</v>
      </c>
      <c r="F14" s="5">
        <v>11</v>
      </c>
      <c r="G14" s="9">
        <f t="shared" si="3"/>
        <v>77.545454545454547</v>
      </c>
      <c r="H14" s="10">
        <f t="shared" si="1"/>
        <v>0.2154040404040404</v>
      </c>
      <c r="I14" s="10"/>
      <c r="J14" s="1">
        <v>1</v>
      </c>
      <c r="K14" s="11">
        <v>3</v>
      </c>
      <c r="L14" s="1">
        <v>2</v>
      </c>
      <c r="M14" s="1">
        <v>2</v>
      </c>
      <c r="N14" s="1">
        <v>2</v>
      </c>
      <c r="O14" s="1">
        <v>1</v>
      </c>
      <c r="P14" s="1">
        <v>2</v>
      </c>
      <c r="Q14" s="1">
        <v>2</v>
      </c>
      <c r="R14" s="12">
        <v>3</v>
      </c>
      <c r="S14" s="5">
        <f t="shared" si="2"/>
        <v>18</v>
      </c>
    </row>
    <row r="15" spans="1:19">
      <c r="A15" s="14">
        <v>4</v>
      </c>
      <c r="B15" s="19">
        <v>45610</v>
      </c>
      <c r="C15" s="15" t="s">
        <v>32</v>
      </c>
      <c r="D15" s="1">
        <v>9</v>
      </c>
      <c r="E15" s="5">
        <v>645</v>
      </c>
      <c r="F15" s="5">
        <v>11</v>
      </c>
      <c r="G15" s="9">
        <f t="shared" si="3"/>
        <v>58.636363636363633</v>
      </c>
      <c r="H15" s="10">
        <f t="shared" si="1"/>
        <v>0.16287878787878787</v>
      </c>
      <c r="I15" s="10"/>
      <c r="J15" s="1">
        <v>1</v>
      </c>
      <c r="K15" s="11">
        <v>3</v>
      </c>
      <c r="L15" s="1">
        <v>3</v>
      </c>
      <c r="M15" s="1">
        <v>2</v>
      </c>
      <c r="N15" s="1">
        <v>3</v>
      </c>
      <c r="O15" s="1">
        <v>1</v>
      </c>
      <c r="P15" s="1">
        <v>3</v>
      </c>
      <c r="Q15" s="1">
        <v>2</v>
      </c>
      <c r="R15" s="12">
        <v>3</v>
      </c>
      <c r="S15" s="5">
        <f t="shared" si="2"/>
        <v>21</v>
      </c>
    </row>
    <row r="16" spans="1:19">
      <c r="A16" s="14">
        <v>45</v>
      </c>
      <c r="B16" s="19">
        <v>45610</v>
      </c>
      <c r="C16" s="15" t="s">
        <v>33</v>
      </c>
      <c r="D16" s="1">
        <v>1</v>
      </c>
      <c r="E16" s="5">
        <v>1924</v>
      </c>
      <c r="F16" s="5">
        <v>11</v>
      </c>
      <c r="G16" s="9">
        <f t="shared" si="3"/>
        <v>174.90909090909091</v>
      </c>
      <c r="H16" s="10">
        <f t="shared" si="1"/>
        <v>0.48585858585858588</v>
      </c>
      <c r="I16" s="10"/>
      <c r="J16" s="1">
        <v>2</v>
      </c>
      <c r="K16" s="11">
        <v>3</v>
      </c>
      <c r="L16" s="1">
        <v>2</v>
      </c>
      <c r="M16" s="1">
        <v>2</v>
      </c>
      <c r="N16" s="1">
        <v>2</v>
      </c>
      <c r="O16" s="1">
        <v>1</v>
      </c>
      <c r="P16" s="1">
        <v>2</v>
      </c>
      <c r="Q16" s="1">
        <v>3</v>
      </c>
      <c r="R16" s="12">
        <v>3</v>
      </c>
      <c r="S16" s="5">
        <f t="shared" si="2"/>
        <v>20</v>
      </c>
    </row>
    <row r="17" spans="1:19">
      <c r="A17" s="14">
        <v>46</v>
      </c>
      <c r="B17" s="19">
        <v>45610</v>
      </c>
      <c r="C17" s="15" t="s">
        <v>34</v>
      </c>
      <c r="D17" s="1">
        <v>1</v>
      </c>
      <c r="E17" s="5">
        <v>619</v>
      </c>
      <c r="F17" s="5">
        <v>11</v>
      </c>
      <c r="G17" s="9">
        <f t="shared" si="3"/>
        <v>56.272727272727273</v>
      </c>
      <c r="H17" s="10">
        <f t="shared" si="1"/>
        <v>0.15631313131313132</v>
      </c>
      <c r="I17" s="10"/>
      <c r="J17" s="1">
        <v>1</v>
      </c>
      <c r="K17" s="11">
        <v>3</v>
      </c>
      <c r="L17" s="1">
        <v>2</v>
      </c>
      <c r="M17" s="1">
        <v>2</v>
      </c>
      <c r="N17" s="1">
        <v>2</v>
      </c>
      <c r="O17" s="1">
        <v>1</v>
      </c>
      <c r="P17" s="1">
        <v>3</v>
      </c>
      <c r="Q17" s="1">
        <v>3</v>
      </c>
      <c r="R17" s="12">
        <v>3</v>
      </c>
      <c r="S17" s="5">
        <f t="shared" si="2"/>
        <v>20</v>
      </c>
    </row>
    <row r="18" spans="1:19">
      <c r="A18" s="14">
        <v>5</v>
      </c>
      <c r="B18" s="19">
        <v>45497</v>
      </c>
      <c r="C18" s="15" t="s">
        <v>89</v>
      </c>
      <c r="D18" s="1">
        <v>9</v>
      </c>
      <c r="E18" s="5">
        <v>660</v>
      </c>
      <c r="F18" s="5">
        <v>11</v>
      </c>
      <c r="G18" s="9">
        <f t="shared" si="3"/>
        <v>60</v>
      </c>
      <c r="H18" s="10">
        <f t="shared" si="1"/>
        <v>0.16666666666666666</v>
      </c>
      <c r="I18" s="10"/>
      <c r="J18" s="1">
        <v>1</v>
      </c>
      <c r="K18" s="11">
        <v>3</v>
      </c>
      <c r="L18" s="1">
        <v>3</v>
      </c>
      <c r="M18" s="1">
        <v>1</v>
      </c>
      <c r="N18" s="1">
        <v>2</v>
      </c>
      <c r="O18" s="1">
        <v>1</v>
      </c>
      <c r="P18" s="1">
        <v>2</v>
      </c>
      <c r="Q18" s="1">
        <v>2</v>
      </c>
      <c r="R18" s="12">
        <v>3</v>
      </c>
      <c r="S18" s="5">
        <f t="shared" si="2"/>
        <v>18</v>
      </c>
    </row>
    <row r="19" spans="1:19">
      <c r="A19" s="14">
        <v>6</v>
      </c>
      <c r="B19" s="19">
        <v>45497</v>
      </c>
      <c r="C19" s="15" t="s">
        <v>90</v>
      </c>
      <c r="D19" s="1">
        <v>9</v>
      </c>
      <c r="E19" s="5">
        <v>1138</v>
      </c>
      <c r="F19" s="5">
        <v>11</v>
      </c>
      <c r="G19" s="9">
        <f t="shared" si="3"/>
        <v>103.45454545454545</v>
      </c>
      <c r="H19" s="10">
        <f t="shared" si="1"/>
        <v>0.28737373737373739</v>
      </c>
      <c r="I19" s="10"/>
      <c r="J19" s="1">
        <v>1</v>
      </c>
      <c r="K19" s="11">
        <v>3</v>
      </c>
      <c r="L19" s="1">
        <v>3</v>
      </c>
      <c r="M19" s="1">
        <v>1</v>
      </c>
      <c r="N19" s="1">
        <v>1</v>
      </c>
      <c r="O19" s="1">
        <v>3</v>
      </c>
      <c r="P19" s="1">
        <v>3</v>
      </c>
      <c r="Q19" s="1">
        <v>3</v>
      </c>
      <c r="R19" s="12">
        <v>3</v>
      </c>
      <c r="S19" s="5">
        <f t="shared" si="2"/>
        <v>21</v>
      </c>
    </row>
    <row r="20" spans="1:19">
      <c r="A20" s="14">
        <v>8</v>
      </c>
      <c r="B20" s="19">
        <v>45610</v>
      </c>
      <c r="C20" s="15" t="s">
        <v>91</v>
      </c>
      <c r="D20" s="1">
        <v>9</v>
      </c>
      <c r="E20" s="5">
        <v>30402</v>
      </c>
      <c r="F20" s="5">
        <v>17</v>
      </c>
      <c r="G20" s="9">
        <f t="shared" si="3"/>
        <v>1788.3529411764705</v>
      </c>
      <c r="H20" s="10">
        <f t="shared" si="1"/>
        <v>4.9676470588235295</v>
      </c>
      <c r="I20" s="10"/>
      <c r="J20" s="1">
        <v>3</v>
      </c>
      <c r="K20" s="11">
        <v>3</v>
      </c>
      <c r="L20" s="11">
        <v>3</v>
      </c>
      <c r="M20" s="1">
        <v>3</v>
      </c>
      <c r="N20" s="1">
        <v>2</v>
      </c>
      <c r="O20" s="1">
        <v>3</v>
      </c>
      <c r="P20" s="1">
        <v>3</v>
      </c>
      <c r="Q20" s="1">
        <v>2</v>
      </c>
      <c r="R20" s="12">
        <v>3</v>
      </c>
      <c r="S20" s="5">
        <f t="shared" si="2"/>
        <v>25</v>
      </c>
    </row>
    <row r="21" spans="1:19">
      <c r="A21" s="14">
        <v>13</v>
      </c>
      <c r="B21" s="19">
        <v>45610</v>
      </c>
      <c r="C21" s="15" t="s">
        <v>92</v>
      </c>
      <c r="D21" s="1">
        <v>9</v>
      </c>
      <c r="E21" s="5">
        <v>6803</v>
      </c>
      <c r="F21" s="5">
        <v>23</v>
      </c>
      <c r="G21" s="9">
        <f t="shared" si="3"/>
        <v>295.78260869565219</v>
      </c>
      <c r="H21" s="10">
        <f t="shared" si="1"/>
        <v>0.82161835748792278</v>
      </c>
      <c r="I21" s="10"/>
      <c r="J21" s="1">
        <v>3</v>
      </c>
      <c r="K21" s="11">
        <v>3</v>
      </c>
      <c r="L21" s="1">
        <v>3</v>
      </c>
      <c r="M21" s="1">
        <v>2</v>
      </c>
      <c r="N21" s="1">
        <v>2</v>
      </c>
      <c r="O21" s="1">
        <v>3</v>
      </c>
      <c r="P21" s="1">
        <v>3</v>
      </c>
      <c r="Q21" s="1">
        <v>2</v>
      </c>
      <c r="R21" s="12">
        <v>3</v>
      </c>
      <c r="S21" s="5">
        <f t="shared" si="2"/>
        <v>24</v>
      </c>
    </row>
    <row r="22" spans="1:19">
      <c r="A22" s="14">
        <v>16</v>
      </c>
      <c r="B22" s="19">
        <v>45498</v>
      </c>
      <c r="C22" s="15" t="s">
        <v>35</v>
      </c>
      <c r="D22" s="1">
        <v>9</v>
      </c>
      <c r="E22" s="5">
        <v>4322</v>
      </c>
      <c r="F22" s="5">
        <v>15</v>
      </c>
      <c r="G22" s="9">
        <f t="shared" si="3"/>
        <v>288.13333333333333</v>
      </c>
      <c r="H22" s="10">
        <f t="shared" si="1"/>
        <v>0.8003703703703704</v>
      </c>
      <c r="I22" s="10"/>
      <c r="J22" s="1">
        <v>2</v>
      </c>
      <c r="K22" s="11">
        <v>3</v>
      </c>
      <c r="L22" s="1">
        <v>3</v>
      </c>
      <c r="M22" s="1">
        <v>2</v>
      </c>
      <c r="N22" s="1">
        <v>1</v>
      </c>
      <c r="O22" s="1">
        <v>1</v>
      </c>
      <c r="P22" s="1">
        <v>3</v>
      </c>
      <c r="Q22" s="1">
        <v>3</v>
      </c>
      <c r="R22" s="12">
        <v>3</v>
      </c>
      <c r="S22" s="5">
        <f t="shared" si="2"/>
        <v>21</v>
      </c>
    </row>
    <row r="23" spans="1:19">
      <c r="A23" s="14">
        <v>47</v>
      </c>
      <c r="B23" s="19">
        <v>45610</v>
      </c>
      <c r="C23" s="15" t="s">
        <v>36</v>
      </c>
      <c r="D23" s="1">
        <v>3</v>
      </c>
      <c r="E23" s="5">
        <v>1290</v>
      </c>
      <c r="F23" s="5">
        <v>11</v>
      </c>
      <c r="G23" s="9">
        <f t="shared" si="3"/>
        <v>117.27272727272727</v>
      </c>
      <c r="H23" s="10">
        <f t="shared" si="1"/>
        <v>0.32575757575757575</v>
      </c>
      <c r="I23" s="10"/>
      <c r="J23" s="1">
        <v>1</v>
      </c>
      <c r="K23" s="11">
        <v>3</v>
      </c>
      <c r="L23" s="1">
        <v>2</v>
      </c>
      <c r="M23" s="1">
        <v>3</v>
      </c>
      <c r="N23" s="1">
        <v>3</v>
      </c>
      <c r="O23" s="1">
        <v>1</v>
      </c>
      <c r="P23" s="1">
        <v>2</v>
      </c>
      <c r="Q23" s="1">
        <v>2</v>
      </c>
      <c r="R23" s="12">
        <v>3</v>
      </c>
      <c r="S23" s="5">
        <f t="shared" si="2"/>
        <v>20</v>
      </c>
    </row>
    <row r="24" spans="1:19">
      <c r="A24" s="14">
        <v>48</v>
      </c>
      <c r="B24" s="19">
        <v>45503</v>
      </c>
      <c r="C24" s="15" t="s">
        <v>37</v>
      </c>
      <c r="D24" s="1">
        <v>3</v>
      </c>
      <c r="E24" s="5">
        <v>1787</v>
      </c>
      <c r="F24" s="5">
        <v>19</v>
      </c>
      <c r="G24" s="9">
        <f t="shared" si="3"/>
        <v>94.05263157894737</v>
      </c>
      <c r="H24" s="10">
        <f t="shared" si="1"/>
        <v>0.26125730994152047</v>
      </c>
      <c r="I24" s="10"/>
      <c r="J24" s="1">
        <v>1</v>
      </c>
      <c r="K24" s="11">
        <v>3</v>
      </c>
      <c r="L24" s="1">
        <v>2</v>
      </c>
      <c r="M24" s="1">
        <v>1</v>
      </c>
      <c r="N24" s="1">
        <v>2</v>
      </c>
      <c r="O24" s="1">
        <v>3</v>
      </c>
      <c r="P24" s="1">
        <v>2</v>
      </c>
      <c r="Q24" s="1">
        <v>2</v>
      </c>
      <c r="R24" s="12">
        <v>3</v>
      </c>
      <c r="S24" s="5">
        <f t="shared" si="2"/>
        <v>19</v>
      </c>
    </row>
    <row r="25" spans="1:19">
      <c r="A25" s="14">
        <v>23</v>
      </c>
      <c r="B25" s="19">
        <v>45504</v>
      </c>
      <c r="C25" s="15" t="s">
        <v>93</v>
      </c>
      <c r="D25" s="1">
        <v>9</v>
      </c>
      <c r="E25" s="5">
        <v>4161</v>
      </c>
      <c r="F25" s="5">
        <v>15</v>
      </c>
      <c r="G25" s="9">
        <f t="shared" si="3"/>
        <v>277.39999999999998</v>
      </c>
      <c r="H25" s="10">
        <f t="shared" si="1"/>
        <v>0.77055555555555544</v>
      </c>
      <c r="I25" s="10"/>
      <c r="J25" s="1">
        <v>2</v>
      </c>
      <c r="K25" s="11">
        <v>3</v>
      </c>
      <c r="L25" s="1">
        <v>3</v>
      </c>
      <c r="M25" s="1">
        <v>2</v>
      </c>
      <c r="N25" s="1">
        <v>1</v>
      </c>
      <c r="O25" s="1">
        <v>1</v>
      </c>
      <c r="P25" s="11">
        <v>3</v>
      </c>
      <c r="Q25" s="1">
        <v>3</v>
      </c>
      <c r="R25" s="12">
        <v>3</v>
      </c>
      <c r="S25" s="5">
        <f t="shared" si="2"/>
        <v>21</v>
      </c>
    </row>
    <row r="26" spans="1:19">
      <c r="A26" s="14">
        <v>49</v>
      </c>
      <c r="B26" s="19">
        <v>45505</v>
      </c>
      <c r="C26" s="15" t="s">
        <v>38</v>
      </c>
      <c r="D26" s="1">
        <v>3</v>
      </c>
      <c r="E26" s="5">
        <v>2354</v>
      </c>
      <c r="F26" s="5">
        <v>15</v>
      </c>
      <c r="G26" s="9">
        <f t="shared" si="3"/>
        <v>156.93333333333334</v>
      </c>
      <c r="H26" s="10">
        <f t="shared" si="1"/>
        <v>0.43592592592592594</v>
      </c>
      <c r="I26" s="10"/>
      <c r="J26" s="1">
        <v>2</v>
      </c>
      <c r="K26" s="11">
        <v>3</v>
      </c>
      <c r="L26" s="1">
        <v>2</v>
      </c>
      <c r="M26" s="1">
        <v>2</v>
      </c>
      <c r="N26" s="1">
        <v>2</v>
      </c>
      <c r="O26" s="1">
        <v>1</v>
      </c>
      <c r="P26" s="1">
        <v>3</v>
      </c>
      <c r="Q26" s="1">
        <v>2</v>
      </c>
      <c r="R26" s="12">
        <v>3</v>
      </c>
      <c r="S26" s="5">
        <f t="shared" si="2"/>
        <v>20</v>
      </c>
    </row>
    <row r="27" spans="1:19">
      <c r="A27" s="14">
        <v>26</v>
      </c>
      <c r="B27" s="19">
        <v>45499</v>
      </c>
      <c r="C27" s="15" t="s">
        <v>39</v>
      </c>
      <c r="D27" s="1">
        <v>3</v>
      </c>
      <c r="E27" s="5">
        <v>1614</v>
      </c>
      <c r="F27" s="5">
        <v>11</v>
      </c>
      <c r="G27" s="9">
        <f t="shared" si="3"/>
        <v>146.72727272727272</v>
      </c>
      <c r="H27" s="10">
        <f t="shared" si="1"/>
        <v>0.40757575757575754</v>
      </c>
      <c r="I27" s="10"/>
      <c r="J27" s="1">
        <v>1</v>
      </c>
      <c r="K27" s="11">
        <v>3</v>
      </c>
      <c r="L27" s="1">
        <v>2</v>
      </c>
      <c r="M27" s="1">
        <v>2</v>
      </c>
      <c r="N27" s="1">
        <v>3</v>
      </c>
      <c r="O27" s="1">
        <v>1</v>
      </c>
      <c r="P27" s="1">
        <v>2</v>
      </c>
      <c r="Q27" s="1">
        <v>2</v>
      </c>
      <c r="R27" s="12">
        <v>3</v>
      </c>
      <c r="S27" s="5">
        <f t="shared" si="2"/>
        <v>19</v>
      </c>
    </row>
    <row r="28" spans="1:19">
      <c r="A28" s="14">
        <v>53</v>
      </c>
      <c r="B28" s="19">
        <v>45497</v>
      </c>
      <c r="C28" s="15" t="s">
        <v>40</v>
      </c>
      <c r="D28" s="1">
        <v>3</v>
      </c>
      <c r="E28" s="5">
        <v>1338</v>
      </c>
      <c r="F28" s="5">
        <v>11</v>
      </c>
      <c r="G28" s="9">
        <f t="shared" si="3"/>
        <v>121.63636363636364</v>
      </c>
      <c r="H28" s="10">
        <f t="shared" si="1"/>
        <v>0.33787878787878789</v>
      </c>
      <c r="I28" s="10"/>
      <c r="J28" s="1">
        <v>1</v>
      </c>
      <c r="K28" s="11">
        <v>3</v>
      </c>
      <c r="L28" s="1">
        <v>2</v>
      </c>
      <c r="M28" s="1">
        <v>2</v>
      </c>
      <c r="N28" s="1">
        <v>2</v>
      </c>
      <c r="O28" s="1">
        <v>1</v>
      </c>
      <c r="P28" s="1">
        <v>2</v>
      </c>
      <c r="Q28" s="1">
        <v>3</v>
      </c>
      <c r="R28" s="12">
        <v>3</v>
      </c>
      <c r="S28" s="5">
        <f t="shared" si="2"/>
        <v>19</v>
      </c>
    </row>
    <row r="29" spans="1:19">
      <c r="A29" s="14">
        <v>51</v>
      </c>
      <c r="B29" s="19">
        <v>45497</v>
      </c>
      <c r="C29" s="15" t="s">
        <v>41</v>
      </c>
      <c r="D29" s="1">
        <v>3</v>
      </c>
      <c r="E29" s="5">
        <v>4299</v>
      </c>
      <c r="F29" s="5">
        <v>11</v>
      </c>
      <c r="G29" s="9">
        <f t="shared" si="3"/>
        <v>390.81818181818181</v>
      </c>
      <c r="H29" s="10">
        <f t="shared" si="1"/>
        <v>1.0856060606060607</v>
      </c>
      <c r="I29" s="10"/>
      <c r="J29" s="1">
        <v>2</v>
      </c>
      <c r="K29" s="11">
        <v>3</v>
      </c>
      <c r="L29" s="1">
        <v>2</v>
      </c>
      <c r="M29" s="1">
        <v>2</v>
      </c>
      <c r="N29" s="1">
        <v>2</v>
      </c>
      <c r="O29" s="1">
        <v>1</v>
      </c>
      <c r="P29" s="11">
        <v>4</v>
      </c>
      <c r="Q29" s="1">
        <v>3</v>
      </c>
      <c r="R29" s="12">
        <v>3</v>
      </c>
      <c r="S29" s="5">
        <f t="shared" si="2"/>
        <v>22</v>
      </c>
    </row>
    <row r="30" spans="1:19">
      <c r="A30" s="14">
        <v>52</v>
      </c>
      <c r="B30" s="19">
        <v>45505</v>
      </c>
      <c r="C30" s="15" t="s">
        <v>42</v>
      </c>
      <c r="D30" s="1">
        <v>3</v>
      </c>
      <c r="E30" s="5">
        <v>2588</v>
      </c>
      <c r="F30" s="5">
        <v>11</v>
      </c>
      <c r="G30" s="9">
        <f t="shared" si="3"/>
        <v>235.27272727272728</v>
      </c>
      <c r="H30" s="10">
        <f t="shared" si="1"/>
        <v>0.65353535353535352</v>
      </c>
      <c r="I30" s="10"/>
      <c r="J30" s="1">
        <v>2</v>
      </c>
      <c r="K30" s="11">
        <v>3</v>
      </c>
      <c r="L30" s="1">
        <v>2</v>
      </c>
      <c r="M30" s="1">
        <v>2</v>
      </c>
      <c r="N30" s="1">
        <v>2</v>
      </c>
      <c r="O30" s="1">
        <v>1</v>
      </c>
      <c r="P30" s="1">
        <v>2</v>
      </c>
      <c r="Q30" s="1">
        <v>3</v>
      </c>
      <c r="R30" s="12">
        <v>3</v>
      </c>
      <c r="S30" s="5">
        <f t="shared" si="2"/>
        <v>20</v>
      </c>
    </row>
    <row r="31" spans="1:19">
      <c r="A31" s="14">
        <v>32</v>
      </c>
      <c r="B31" s="19">
        <v>45497</v>
      </c>
      <c r="C31" s="15" t="s">
        <v>43</v>
      </c>
      <c r="D31" s="1">
        <v>9</v>
      </c>
      <c r="E31" s="5">
        <v>1004</v>
      </c>
      <c r="F31" s="5">
        <v>7</v>
      </c>
      <c r="G31" s="9">
        <f t="shared" si="3"/>
        <v>143.42857142857142</v>
      </c>
      <c r="H31" s="10">
        <f t="shared" si="1"/>
        <v>0.39841269841269839</v>
      </c>
      <c r="I31" s="10"/>
      <c r="J31" s="1">
        <v>1</v>
      </c>
      <c r="K31" s="11">
        <v>3</v>
      </c>
      <c r="L31" s="1">
        <v>3</v>
      </c>
      <c r="M31" s="1">
        <v>2</v>
      </c>
      <c r="N31" s="1">
        <v>1</v>
      </c>
      <c r="O31" s="1">
        <v>1</v>
      </c>
      <c r="P31" s="1">
        <v>2</v>
      </c>
      <c r="Q31" s="1">
        <v>2</v>
      </c>
      <c r="R31" s="12">
        <v>3</v>
      </c>
      <c r="S31" s="5">
        <f t="shared" si="2"/>
        <v>18</v>
      </c>
    </row>
    <row r="32" spans="1:19">
      <c r="A32" s="14">
        <v>33</v>
      </c>
      <c r="B32" s="19">
        <v>45497</v>
      </c>
      <c r="C32" s="15" t="s">
        <v>44</v>
      </c>
      <c r="D32" s="1">
        <v>9</v>
      </c>
      <c r="E32" s="5">
        <v>1495</v>
      </c>
      <c r="F32" s="5">
        <v>11</v>
      </c>
      <c r="G32" s="9">
        <f t="shared" si="3"/>
        <v>135.90909090909091</v>
      </c>
      <c r="H32" s="10">
        <f t="shared" si="1"/>
        <v>0.37752525252525254</v>
      </c>
      <c r="I32" s="10"/>
      <c r="J32" s="1">
        <v>1</v>
      </c>
      <c r="K32" s="11">
        <v>3</v>
      </c>
      <c r="L32" s="1">
        <v>3</v>
      </c>
      <c r="M32" s="1">
        <v>2</v>
      </c>
      <c r="N32" s="1">
        <v>1</v>
      </c>
      <c r="O32" s="1">
        <v>1</v>
      </c>
      <c r="P32" s="1">
        <v>2</v>
      </c>
      <c r="Q32" s="1">
        <v>3</v>
      </c>
      <c r="R32" s="12">
        <v>3</v>
      </c>
      <c r="S32" s="5">
        <f t="shared" si="2"/>
        <v>19</v>
      </c>
    </row>
    <row r="33" spans="1:19">
      <c r="A33" s="14">
        <v>34</v>
      </c>
      <c r="B33" s="19">
        <v>45610</v>
      </c>
      <c r="C33" s="15" t="s">
        <v>45</v>
      </c>
      <c r="D33" s="1">
        <v>9</v>
      </c>
      <c r="E33" s="5">
        <v>1047</v>
      </c>
      <c r="F33" s="5">
        <v>15</v>
      </c>
      <c r="G33" s="9">
        <f t="shared" si="3"/>
        <v>69.8</v>
      </c>
      <c r="H33" s="10">
        <f t="shared" si="1"/>
        <v>0.19388888888888889</v>
      </c>
      <c r="I33" s="10"/>
      <c r="J33" s="1">
        <v>1</v>
      </c>
      <c r="K33" s="11">
        <v>3</v>
      </c>
      <c r="L33" s="1">
        <v>3</v>
      </c>
      <c r="M33" s="1">
        <v>2</v>
      </c>
      <c r="N33" s="1">
        <v>1</v>
      </c>
      <c r="O33" s="1">
        <v>1</v>
      </c>
      <c r="P33" s="1">
        <v>3</v>
      </c>
      <c r="Q33" s="1">
        <v>2</v>
      </c>
      <c r="R33" s="12">
        <v>3</v>
      </c>
      <c r="S33" s="5">
        <f t="shared" si="2"/>
        <v>19</v>
      </c>
    </row>
    <row r="34" spans="1:19">
      <c r="A34" s="14">
        <v>54</v>
      </c>
      <c r="B34" s="19">
        <v>45497</v>
      </c>
      <c r="C34" s="15" t="s">
        <v>94</v>
      </c>
      <c r="D34" s="1">
        <v>9</v>
      </c>
      <c r="E34" s="5">
        <v>5449</v>
      </c>
      <c r="F34" s="5">
        <v>19</v>
      </c>
      <c r="G34" s="9">
        <f t="shared" si="3"/>
        <v>286.78947368421052</v>
      </c>
      <c r="H34" s="10">
        <f t="shared" si="1"/>
        <v>0.79663742690058481</v>
      </c>
      <c r="I34" s="10"/>
      <c r="J34" s="1">
        <v>2</v>
      </c>
      <c r="K34" s="11">
        <v>3</v>
      </c>
      <c r="L34" s="1">
        <v>3</v>
      </c>
      <c r="M34" s="1">
        <v>2</v>
      </c>
      <c r="N34" s="1">
        <v>1</v>
      </c>
      <c r="O34" s="1">
        <v>3</v>
      </c>
      <c r="P34" s="1">
        <v>3</v>
      </c>
      <c r="Q34" s="1">
        <v>3</v>
      </c>
      <c r="R34" s="12">
        <v>3</v>
      </c>
      <c r="S34" s="5">
        <f t="shared" si="2"/>
        <v>23</v>
      </c>
    </row>
    <row r="35" spans="1:19">
      <c r="A35" s="14">
        <v>55</v>
      </c>
      <c r="B35" s="19">
        <v>45497</v>
      </c>
      <c r="C35" s="15" t="s">
        <v>95</v>
      </c>
      <c r="D35" s="1">
        <v>9</v>
      </c>
      <c r="E35" s="5">
        <v>12488</v>
      </c>
      <c r="F35" s="5">
        <v>15</v>
      </c>
      <c r="G35" s="9">
        <f t="shared" si="3"/>
        <v>832.5333333333333</v>
      </c>
      <c r="H35" s="10">
        <f t="shared" si="1"/>
        <v>2.3125925925925923</v>
      </c>
      <c r="I35" s="10"/>
      <c r="J35" s="1">
        <v>3</v>
      </c>
      <c r="K35" s="11">
        <v>3</v>
      </c>
      <c r="L35" s="1">
        <v>3</v>
      </c>
      <c r="M35" s="1">
        <v>3</v>
      </c>
      <c r="N35" s="1">
        <v>2</v>
      </c>
      <c r="O35" s="1">
        <v>2</v>
      </c>
      <c r="P35" s="1">
        <v>3</v>
      </c>
      <c r="Q35" s="1">
        <v>3</v>
      </c>
      <c r="R35" s="12">
        <v>3</v>
      </c>
      <c r="S35" s="5">
        <f t="shared" si="2"/>
        <v>25</v>
      </c>
    </row>
    <row r="36" spans="1:19">
      <c r="A36" s="14">
        <v>56</v>
      </c>
      <c r="B36" s="19">
        <v>45506</v>
      </c>
      <c r="C36" s="15" t="s">
        <v>46</v>
      </c>
      <c r="D36" s="1">
        <v>5</v>
      </c>
      <c r="E36" s="5">
        <v>2190</v>
      </c>
      <c r="F36" s="5">
        <v>11</v>
      </c>
      <c r="G36" s="9">
        <f t="shared" si="3"/>
        <v>199.09090909090909</v>
      </c>
      <c r="H36" s="10">
        <f t="shared" ref="H36:H67" si="4">G36/$H$2</f>
        <v>0.55303030303030298</v>
      </c>
      <c r="I36" s="10"/>
      <c r="J36" s="1">
        <v>2</v>
      </c>
      <c r="K36" s="11">
        <v>1</v>
      </c>
      <c r="L36" s="1">
        <v>1</v>
      </c>
      <c r="M36" s="1">
        <v>3</v>
      </c>
      <c r="N36" s="1">
        <v>1</v>
      </c>
      <c r="O36" s="1">
        <v>2</v>
      </c>
      <c r="P36" s="1">
        <v>2</v>
      </c>
      <c r="Q36" s="1">
        <v>2</v>
      </c>
      <c r="R36" s="12">
        <v>2</v>
      </c>
      <c r="S36" s="5">
        <f t="shared" ref="S36:S67" si="5">SUM(J36:R36)</f>
        <v>16</v>
      </c>
    </row>
    <row r="37" spans="1:19">
      <c r="A37" s="14">
        <v>57</v>
      </c>
      <c r="B37" s="19">
        <v>45610</v>
      </c>
      <c r="C37" s="15" t="s">
        <v>47</v>
      </c>
      <c r="D37" s="1">
        <v>10</v>
      </c>
      <c r="E37" s="5">
        <v>2937</v>
      </c>
      <c r="F37" s="5">
        <v>11</v>
      </c>
      <c r="G37" s="9">
        <f t="shared" si="3"/>
        <v>267</v>
      </c>
      <c r="H37" s="10">
        <f t="shared" si="4"/>
        <v>0.7416666666666667</v>
      </c>
      <c r="I37" s="10"/>
      <c r="J37" s="1">
        <v>2</v>
      </c>
      <c r="K37" s="11">
        <v>3</v>
      </c>
      <c r="L37" s="1">
        <v>2</v>
      </c>
      <c r="M37" s="1">
        <v>2</v>
      </c>
      <c r="N37" s="1">
        <v>1</v>
      </c>
      <c r="O37" s="1">
        <v>3</v>
      </c>
      <c r="P37" s="1">
        <v>3</v>
      </c>
      <c r="Q37" s="1">
        <v>3</v>
      </c>
      <c r="R37" s="12">
        <v>3</v>
      </c>
      <c r="S37" s="5">
        <f t="shared" si="5"/>
        <v>22</v>
      </c>
    </row>
    <row r="38" spans="1:19">
      <c r="A38" s="14">
        <v>58</v>
      </c>
      <c r="B38" s="19">
        <v>45610</v>
      </c>
      <c r="C38" s="15" t="s">
        <v>48</v>
      </c>
      <c r="D38" s="1">
        <v>3</v>
      </c>
      <c r="E38" s="5">
        <v>3865</v>
      </c>
      <c r="F38" s="5">
        <v>11</v>
      </c>
      <c r="G38" s="9">
        <f t="shared" si="3"/>
        <v>351.36363636363637</v>
      </c>
      <c r="H38" s="10">
        <f t="shared" si="4"/>
        <v>0.97601010101010099</v>
      </c>
      <c r="I38" s="10"/>
      <c r="J38" s="1">
        <v>2</v>
      </c>
      <c r="K38" s="11">
        <v>1</v>
      </c>
      <c r="L38" s="1">
        <v>2</v>
      </c>
      <c r="M38" s="1">
        <v>2</v>
      </c>
      <c r="N38" s="1">
        <v>2</v>
      </c>
      <c r="O38" s="1">
        <v>3</v>
      </c>
      <c r="P38" s="11">
        <v>3</v>
      </c>
      <c r="Q38" s="1">
        <v>2</v>
      </c>
      <c r="R38" s="12">
        <v>1</v>
      </c>
      <c r="S38" s="5">
        <f t="shared" si="5"/>
        <v>18</v>
      </c>
    </row>
    <row r="39" spans="1:19">
      <c r="A39" s="14">
        <v>59</v>
      </c>
      <c r="B39" s="19">
        <v>45503</v>
      </c>
      <c r="C39" s="15" t="s">
        <v>49</v>
      </c>
      <c r="D39" s="1">
        <v>3</v>
      </c>
      <c r="E39" s="5">
        <v>4573</v>
      </c>
      <c r="F39" s="5">
        <v>15</v>
      </c>
      <c r="G39" s="9">
        <f t="shared" si="3"/>
        <v>304.86666666666667</v>
      </c>
      <c r="H39" s="10">
        <f t="shared" si="4"/>
        <v>0.84685185185185186</v>
      </c>
      <c r="I39" s="10"/>
      <c r="J39" s="1">
        <v>2</v>
      </c>
      <c r="K39" s="11">
        <v>3</v>
      </c>
      <c r="L39" s="1">
        <v>2</v>
      </c>
      <c r="M39" s="1">
        <v>2</v>
      </c>
      <c r="N39" s="1">
        <v>2</v>
      </c>
      <c r="O39" s="1">
        <v>2</v>
      </c>
      <c r="P39" s="11">
        <v>3</v>
      </c>
      <c r="Q39" s="1">
        <v>2</v>
      </c>
      <c r="R39" s="12">
        <v>1</v>
      </c>
      <c r="S39" s="5">
        <f t="shared" si="5"/>
        <v>19</v>
      </c>
    </row>
    <row r="40" spans="1:19">
      <c r="A40" s="14">
        <v>60</v>
      </c>
      <c r="B40" s="19">
        <v>45505</v>
      </c>
      <c r="C40" s="15" t="s">
        <v>96</v>
      </c>
      <c r="D40" s="1">
        <v>3</v>
      </c>
      <c r="E40" s="5">
        <v>4261</v>
      </c>
      <c r="F40" s="5">
        <v>11</v>
      </c>
      <c r="G40" s="9">
        <f t="shared" si="3"/>
        <v>387.36363636363637</v>
      </c>
      <c r="H40" s="10">
        <f t="shared" si="4"/>
        <v>1.0760101010101011</v>
      </c>
      <c r="I40" s="10"/>
      <c r="J40" s="1">
        <v>2</v>
      </c>
      <c r="K40" s="11">
        <v>3</v>
      </c>
      <c r="L40" s="1">
        <v>2</v>
      </c>
      <c r="M40" s="1">
        <v>2</v>
      </c>
      <c r="N40" s="1">
        <v>3</v>
      </c>
      <c r="O40" s="1">
        <v>3</v>
      </c>
      <c r="P40" s="1">
        <v>4</v>
      </c>
      <c r="Q40" s="1">
        <v>2</v>
      </c>
      <c r="R40" s="12">
        <v>2</v>
      </c>
      <c r="S40" s="5">
        <f t="shared" si="5"/>
        <v>23</v>
      </c>
    </row>
    <row r="41" spans="1:19">
      <c r="A41" s="14">
        <v>61</v>
      </c>
      <c r="B41" s="19">
        <v>45497</v>
      </c>
      <c r="C41" s="15" t="s">
        <v>50</v>
      </c>
      <c r="D41" s="1">
        <v>9</v>
      </c>
      <c r="E41" s="5">
        <v>1023</v>
      </c>
      <c r="F41" s="5">
        <v>15</v>
      </c>
      <c r="G41" s="9">
        <f t="shared" si="3"/>
        <v>68.2</v>
      </c>
      <c r="H41" s="10">
        <f t="shared" si="4"/>
        <v>0.18944444444444444</v>
      </c>
      <c r="I41" s="10"/>
      <c r="J41" s="1">
        <v>1</v>
      </c>
      <c r="K41" s="11">
        <v>3</v>
      </c>
      <c r="L41" s="1">
        <v>2</v>
      </c>
      <c r="M41" s="1">
        <v>1</v>
      </c>
      <c r="N41" s="1">
        <v>1</v>
      </c>
      <c r="O41" s="1">
        <v>1</v>
      </c>
      <c r="P41" s="1">
        <v>3</v>
      </c>
      <c r="Q41" s="1">
        <v>2</v>
      </c>
      <c r="R41" s="12">
        <v>3</v>
      </c>
      <c r="S41" s="5">
        <f t="shared" si="5"/>
        <v>17</v>
      </c>
    </row>
    <row r="42" spans="1:19">
      <c r="A42" s="14">
        <v>62</v>
      </c>
      <c r="B42" s="19">
        <v>45499</v>
      </c>
      <c r="C42" s="15" t="s">
        <v>51</v>
      </c>
      <c r="D42" s="1">
        <v>3</v>
      </c>
      <c r="E42" s="5">
        <v>5294</v>
      </c>
      <c r="F42" s="5">
        <v>15</v>
      </c>
      <c r="G42" s="9">
        <f t="shared" si="3"/>
        <v>352.93333333333334</v>
      </c>
      <c r="H42" s="10">
        <f t="shared" si="4"/>
        <v>0.98037037037037034</v>
      </c>
      <c r="I42" s="10"/>
      <c r="J42" s="1">
        <v>2</v>
      </c>
      <c r="K42" s="11">
        <v>3</v>
      </c>
      <c r="L42" s="1">
        <v>2</v>
      </c>
      <c r="M42" s="1">
        <v>2</v>
      </c>
      <c r="N42" s="1">
        <v>2</v>
      </c>
      <c r="O42" s="1">
        <v>1</v>
      </c>
      <c r="P42" s="11">
        <v>3</v>
      </c>
      <c r="Q42" s="1">
        <v>3</v>
      </c>
      <c r="R42" s="12">
        <v>3</v>
      </c>
      <c r="S42" s="5">
        <f t="shared" si="5"/>
        <v>21</v>
      </c>
    </row>
    <row r="43" spans="1:19">
      <c r="A43" s="14">
        <v>63</v>
      </c>
      <c r="B43" s="19">
        <v>45497</v>
      </c>
      <c r="C43" s="15" t="s">
        <v>52</v>
      </c>
      <c r="D43" s="1">
        <v>9</v>
      </c>
      <c r="E43" s="5">
        <v>10327</v>
      </c>
      <c r="F43" s="5">
        <v>19</v>
      </c>
      <c r="G43" s="9">
        <f t="shared" si="3"/>
        <v>543.52631578947364</v>
      </c>
      <c r="H43" s="10">
        <f t="shared" si="4"/>
        <v>1.5097953216374267</v>
      </c>
      <c r="I43" s="10"/>
      <c r="J43" s="1">
        <v>3</v>
      </c>
      <c r="K43" s="11">
        <v>2</v>
      </c>
      <c r="L43" s="1">
        <v>3</v>
      </c>
      <c r="M43" s="1">
        <v>3</v>
      </c>
      <c r="N43" s="1">
        <v>2</v>
      </c>
      <c r="O43" s="1">
        <v>3</v>
      </c>
      <c r="P43" s="1">
        <v>3</v>
      </c>
      <c r="Q43" s="1">
        <v>3</v>
      </c>
      <c r="R43" s="12">
        <v>2</v>
      </c>
      <c r="S43" s="5">
        <f t="shared" si="5"/>
        <v>24</v>
      </c>
    </row>
    <row r="44" spans="1:19">
      <c r="A44" s="14">
        <v>64</v>
      </c>
      <c r="B44" s="19">
        <v>45497</v>
      </c>
      <c r="C44" s="15" t="s">
        <v>53</v>
      </c>
      <c r="D44" s="1">
        <v>9</v>
      </c>
      <c r="E44" s="5">
        <v>3260</v>
      </c>
      <c r="F44" s="5">
        <v>11</v>
      </c>
      <c r="G44" s="9">
        <f t="shared" si="3"/>
        <v>296.36363636363637</v>
      </c>
      <c r="H44" s="10">
        <f t="shared" si="4"/>
        <v>0.82323232323232332</v>
      </c>
      <c r="I44" s="10"/>
      <c r="J44" s="1">
        <v>2</v>
      </c>
      <c r="K44" s="11">
        <v>3</v>
      </c>
      <c r="L44" s="1">
        <v>3</v>
      </c>
      <c r="M44" s="1">
        <v>2</v>
      </c>
      <c r="N44" s="1">
        <v>2</v>
      </c>
      <c r="O44" s="1">
        <v>1</v>
      </c>
      <c r="P44" s="1">
        <v>2</v>
      </c>
      <c r="Q44" s="1">
        <v>3</v>
      </c>
      <c r="R44" s="12">
        <v>3</v>
      </c>
      <c r="S44" s="5">
        <f t="shared" si="5"/>
        <v>21</v>
      </c>
    </row>
    <row r="45" spans="1:19">
      <c r="A45" s="14">
        <v>66</v>
      </c>
      <c r="B45" s="19">
        <v>45497</v>
      </c>
      <c r="C45" s="15" t="s">
        <v>54</v>
      </c>
      <c r="D45" s="1">
        <v>9</v>
      </c>
      <c r="E45" s="5">
        <v>7480</v>
      </c>
      <c r="F45" s="5">
        <v>19</v>
      </c>
      <c r="G45" s="9">
        <f t="shared" si="3"/>
        <v>393.68421052631578</v>
      </c>
      <c r="H45" s="10">
        <f t="shared" si="4"/>
        <v>1.0935672514619883</v>
      </c>
      <c r="I45" s="10"/>
      <c r="J45" s="1">
        <v>3</v>
      </c>
      <c r="K45" s="11">
        <v>3</v>
      </c>
      <c r="L45" s="1">
        <v>3</v>
      </c>
      <c r="M45" s="1">
        <v>3</v>
      </c>
      <c r="N45" s="1">
        <v>1</v>
      </c>
      <c r="O45" s="1">
        <v>3</v>
      </c>
      <c r="P45" s="1">
        <v>3</v>
      </c>
      <c r="Q45" s="1">
        <v>3</v>
      </c>
      <c r="R45" s="12">
        <v>3</v>
      </c>
      <c r="S45" s="5">
        <f t="shared" si="5"/>
        <v>25</v>
      </c>
    </row>
    <row r="46" spans="1:19">
      <c r="A46" s="14">
        <v>67</v>
      </c>
      <c r="B46" s="19">
        <v>45499</v>
      </c>
      <c r="C46" s="15" t="s">
        <v>55</v>
      </c>
      <c r="D46" s="1">
        <v>1</v>
      </c>
      <c r="E46" s="5">
        <v>801</v>
      </c>
      <c r="F46" s="5">
        <v>11</v>
      </c>
      <c r="G46" s="9">
        <f t="shared" si="3"/>
        <v>72.818181818181813</v>
      </c>
      <c r="H46" s="10">
        <f t="shared" si="4"/>
        <v>0.20227272727272727</v>
      </c>
      <c r="I46" s="10"/>
      <c r="J46" s="1">
        <v>1</v>
      </c>
      <c r="K46" s="11">
        <v>3</v>
      </c>
      <c r="L46" s="1">
        <v>2</v>
      </c>
      <c r="M46" s="1">
        <v>2</v>
      </c>
      <c r="N46" s="1">
        <v>2</v>
      </c>
      <c r="O46" s="1">
        <v>2</v>
      </c>
      <c r="P46" s="1">
        <v>2</v>
      </c>
      <c r="Q46" s="1">
        <v>2</v>
      </c>
      <c r="R46" s="12">
        <v>2</v>
      </c>
      <c r="S46" s="5">
        <f t="shared" si="5"/>
        <v>18</v>
      </c>
    </row>
    <row r="47" spans="1:19">
      <c r="A47" s="14">
        <v>68</v>
      </c>
      <c r="B47" s="19">
        <v>45497</v>
      </c>
      <c r="C47" s="15" t="s">
        <v>97</v>
      </c>
      <c r="D47" s="1">
        <v>9</v>
      </c>
      <c r="E47" s="5">
        <v>2947</v>
      </c>
      <c r="F47" s="5">
        <v>15</v>
      </c>
      <c r="G47" s="9">
        <f t="shared" si="3"/>
        <v>196.46666666666667</v>
      </c>
      <c r="H47" s="10">
        <f t="shared" si="4"/>
        <v>0.54574074074074075</v>
      </c>
      <c r="I47" s="10"/>
      <c r="J47" s="1">
        <v>2</v>
      </c>
      <c r="K47" s="11">
        <v>3</v>
      </c>
      <c r="L47" s="1">
        <v>2</v>
      </c>
      <c r="M47" s="1">
        <v>2</v>
      </c>
      <c r="N47" s="1">
        <v>1</v>
      </c>
      <c r="O47" s="1">
        <v>3</v>
      </c>
      <c r="P47" s="1">
        <v>3</v>
      </c>
      <c r="Q47" s="1">
        <v>3</v>
      </c>
      <c r="R47" s="12">
        <v>3</v>
      </c>
      <c r="S47" s="5">
        <f t="shared" si="5"/>
        <v>22</v>
      </c>
    </row>
    <row r="48" spans="1:19">
      <c r="A48" s="14">
        <v>69</v>
      </c>
      <c r="B48" s="19">
        <v>45502</v>
      </c>
      <c r="C48" s="15" t="s">
        <v>98</v>
      </c>
      <c r="D48" s="1">
        <v>9</v>
      </c>
      <c r="E48" s="5">
        <v>2227</v>
      </c>
      <c r="F48" s="5">
        <v>15</v>
      </c>
      <c r="G48" s="9">
        <f t="shared" si="3"/>
        <v>148.46666666666667</v>
      </c>
      <c r="H48" s="10">
        <f t="shared" si="4"/>
        <v>0.41240740740740739</v>
      </c>
      <c r="I48" s="10"/>
      <c r="J48" s="1">
        <v>2</v>
      </c>
      <c r="K48" s="11">
        <v>3</v>
      </c>
      <c r="L48" s="1">
        <v>2</v>
      </c>
      <c r="M48" s="1">
        <v>2</v>
      </c>
      <c r="N48" s="1">
        <v>1</v>
      </c>
      <c r="O48" s="1">
        <v>1</v>
      </c>
      <c r="P48" s="1">
        <v>3</v>
      </c>
      <c r="Q48" s="1">
        <v>3</v>
      </c>
      <c r="R48" s="12">
        <v>3</v>
      </c>
      <c r="S48" s="5">
        <f t="shared" si="5"/>
        <v>20</v>
      </c>
    </row>
    <row r="49" spans="1:19">
      <c r="A49" s="14">
        <v>70</v>
      </c>
      <c r="B49" s="19">
        <v>45610</v>
      </c>
      <c r="C49" s="15" t="s">
        <v>56</v>
      </c>
      <c r="D49" s="1">
        <v>9</v>
      </c>
      <c r="E49" s="5">
        <v>1576</v>
      </c>
      <c r="F49" s="5">
        <v>11</v>
      </c>
      <c r="G49" s="9">
        <f t="shared" si="3"/>
        <v>143.27272727272728</v>
      </c>
      <c r="H49" s="10">
        <f t="shared" si="4"/>
        <v>0.39797979797979799</v>
      </c>
      <c r="I49" s="10"/>
      <c r="J49" s="1">
        <v>1</v>
      </c>
      <c r="K49" s="11">
        <v>3</v>
      </c>
      <c r="L49" s="1">
        <v>2</v>
      </c>
      <c r="M49" s="1">
        <v>2</v>
      </c>
      <c r="N49" s="1">
        <v>1</v>
      </c>
      <c r="O49" s="1">
        <v>1</v>
      </c>
      <c r="P49" s="1">
        <v>3</v>
      </c>
      <c r="Q49" s="1">
        <v>3</v>
      </c>
      <c r="R49" s="12">
        <v>3</v>
      </c>
      <c r="S49" s="5">
        <f t="shared" si="5"/>
        <v>19</v>
      </c>
    </row>
    <row r="50" spans="1:19">
      <c r="A50" s="14">
        <v>71</v>
      </c>
      <c r="B50" s="19">
        <v>45498</v>
      </c>
      <c r="C50" s="15" t="s">
        <v>57</v>
      </c>
      <c r="D50" s="1">
        <v>9</v>
      </c>
      <c r="E50" s="5">
        <v>2727</v>
      </c>
      <c r="F50" s="5">
        <v>11</v>
      </c>
      <c r="G50" s="9">
        <f t="shared" si="3"/>
        <v>247.90909090909091</v>
      </c>
      <c r="H50" s="10">
        <f t="shared" si="4"/>
        <v>0.6886363636363636</v>
      </c>
      <c r="I50" s="10"/>
      <c r="J50" s="1">
        <v>2</v>
      </c>
      <c r="K50" s="11">
        <v>3</v>
      </c>
      <c r="L50" s="1">
        <v>2</v>
      </c>
      <c r="M50" s="1">
        <v>1</v>
      </c>
      <c r="N50" s="1">
        <v>1</v>
      </c>
      <c r="O50" s="1">
        <v>1</v>
      </c>
      <c r="P50" s="1">
        <v>3</v>
      </c>
      <c r="Q50" s="1">
        <v>3</v>
      </c>
      <c r="R50" s="12">
        <v>3</v>
      </c>
      <c r="S50" s="5">
        <f t="shared" si="5"/>
        <v>19</v>
      </c>
    </row>
    <row r="51" spans="1:19">
      <c r="A51" s="14">
        <v>72</v>
      </c>
      <c r="B51" s="19">
        <v>45502</v>
      </c>
      <c r="C51" s="15" t="s">
        <v>58</v>
      </c>
      <c r="D51" s="1">
        <v>9</v>
      </c>
      <c r="E51" s="5">
        <v>1411</v>
      </c>
      <c r="F51" s="5">
        <v>11</v>
      </c>
      <c r="G51" s="9">
        <f t="shared" si="3"/>
        <v>128.27272727272728</v>
      </c>
      <c r="H51" s="10">
        <f t="shared" si="4"/>
        <v>0.35631313131313136</v>
      </c>
      <c r="I51" s="10"/>
      <c r="J51" s="1">
        <v>1</v>
      </c>
      <c r="K51" s="11">
        <v>3</v>
      </c>
      <c r="L51" s="1">
        <v>2</v>
      </c>
      <c r="M51" s="1">
        <v>2</v>
      </c>
      <c r="N51" s="1">
        <v>1</v>
      </c>
      <c r="O51" s="1">
        <v>1</v>
      </c>
      <c r="P51" s="1">
        <v>3</v>
      </c>
      <c r="Q51" s="1">
        <v>3</v>
      </c>
      <c r="R51" s="12">
        <v>3</v>
      </c>
      <c r="S51" s="5">
        <f t="shared" si="5"/>
        <v>19</v>
      </c>
    </row>
    <row r="52" spans="1:19">
      <c r="A52" s="14">
        <v>73</v>
      </c>
      <c r="B52" s="19">
        <v>45506</v>
      </c>
      <c r="C52" s="15" t="s">
        <v>59</v>
      </c>
      <c r="D52" s="1">
        <v>9</v>
      </c>
      <c r="E52" s="5">
        <v>1130</v>
      </c>
      <c r="F52" s="5">
        <v>7</v>
      </c>
      <c r="G52" s="9">
        <f t="shared" si="3"/>
        <v>161.42857142857142</v>
      </c>
      <c r="H52" s="10">
        <f t="shared" si="4"/>
        <v>0.44841269841269837</v>
      </c>
      <c r="I52" s="10"/>
      <c r="J52" s="1">
        <v>1</v>
      </c>
      <c r="K52" s="11">
        <v>3</v>
      </c>
      <c r="L52" s="1">
        <v>2</v>
      </c>
      <c r="M52" s="1">
        <v>2</v>
      </c>
      <c r="N52" s="1">
        <v>1</v>
      </c>
      <c r="O52" s="1">
        <v>1</v>
      </c>
      <c r="P52" s="1">
        <v>3</v>
      </c>
      <c r="Q52" s="1">
        <v>3</v>
      </c>
      <c r="R52" s="12">
        <v>3</v>
      </c>
      <c r="S52" s="5">
        <f t="shared" si="5"/>
        <v>19</v>
      </c>
    </row>
    <row r="53" spans="1:19">
      <c r="A53" s="14">
        <v>74</v>
      </c>
      <c r="B53" s="19">
        <v>45497</v>
      </c>
      <c r="C53" s="15" t="s">
        <v>60</v>
      </c>
      <c r="D53" s="1">
        <v>9</v>
      </c>
      <c r="E53" s="5">
        <v>2120</v>
      </c>
      <c r="F53" s="5">
        <v>11</v>
      </c>
      <c r="G53" s="9">
        <f t="shared" si="3"/>
        <v>192.72727272727272</v>
      </c>
      <c r="H53" s="10">
        <f t="shared" si="4"/>
        <v>0.53535353535353536</v>
      </c>
      <c r="I53" s="10"/>
      <c r="J53" s="1">
        <v>2</v>
      </c>
      <c r="K53" s="11">
        <v>3</v>
      </c>
      <c r="L53" s="1">
        <v>2</v>
      </c>
      <c r="M53" s="1">
        <v>2</v>
      </c>
      <c r="N53" s="1">
        <v>1</v>
      </c>
      <c r="O53" s="1">
        <v>1</v>
      </c>
      <c r="P53" s="1">
        <v>3</v>
      </c>
      <c r="Q53" s="1">
        <v>3</v>
      </c>
      <c r="R53" s="12">
        <v>2</v>
      </c>
      <c r="S53" s="5">
        <f t="shared" si="5"/>
        <v>19</v>
      </c>
    </row>
    <row r="54" spans="1:19">
      <c r="A54" s="14">
        <v>75</v>
      </c>
      <c r="B54" s="19">
        <v>45497</v>
      </c>
      <c r="C54" s="46" t="s">
        <v>99</v>
      </c>
      <c r="D54" s="1">
        <v>9</v>
      </c>
      <c r="E54" s="5">
        <v>3542</v>
      </c>
      <c r="F54" s="5">
        <v>19</v>
      </c>
      <c r="G54" s="9">
        <f t="shared" si="3"/>
        <v>186.42105263157896</v>
      </c>
      <c r="H54" s="10">
        <f t="shared" si="4"/>
        <v>0.51783625730994154</v>
      </c>
      <c r="I54" s="10"/>
      <c r="J54" s="1">
        <v>2</v>
      </c>
      <c r="K54" s="11">
        <v>3</v>
      </c>
      <c r="L54" s="1">
        <v>3</v>
      </c>
      <c r="M54" s="1">
        <v>2</v>
      </c>
      <c r="N54" s="1">
        <v>1</v>
      </c>
      <c r="O54" s="1">
        <v>1</v>
      </c>
      <c r="P54" s="1">
        <v>3</v>
      </c>
      <c r="Q54" s="1">
        <v>2</v>
      </c>
      <c r="R54" s="12">
        <v>3</v>
      </c>
      <c r="S54" s="5">
        <f t="shared" si="5"/>
        <v>20</v>
      </c>
    </row>
    <row r="55" spans="1:19">
      <c r="A55" s="14">
        <v>2</v>
      </c>
      <c r="B55" s="19">
        <v>45610</v>
      </c>
      <c r="C55" s="15" t="s">
        <v>100</v>
      </c>
      <c r="D55" s="1">
        <v>9</v>
      </c>
      <c r="E55" s="5">
        <v>2179</v>
      </c>
      <c r="F55" s="5">
        <v>11</v>
      </c>
      <c r="G55" s="9">
        <f t="shared" si="3"/>
        <v>198.09090909090909</v>
      </c>
      <c r="H55" s="10">
        <f t="shared" si="4"/>
        <v>0.55025252525252522</v>
      </c>
      <c r="I55" s="10"/>
      <c r="J55" s="1">
        <v>2</v>
      </c>
      <c r="K55" s="11">
        <v>3</v>
      </c>
      <c r="L55" s="1">
        <v>3</v>
      </c>
      <c r="M55" s="1">
        <v>2</v>
      </c>
      <c r="N55" s="1">
        <v>1</v>
      </c>
      <c r="O55" s="1">
        <v>1</v>
      </c>
      <c r="P55" s="1">
        <v>3</v>
      </c>
      <c r="Q55" s="1">
        <v>3</v>
      </c>
      <c r="R55" s="12">
        <v>3</v>
      </c>
      <c r="S55" s="5">
        <f t="shared" si="5"/>
        <v>21</v>
      </c>
    </row>
    <row r="56" spans="1:19">
      <c r="A56" s="14">
        <v>29</v>
      </c>
      <c r="B56" s="19">
        <v>45497</v>
      </c>
      <c r="C56" s="15" t="s">
        <v>61</v>
      </c>
      <c r="D56" s="1">
        <v>9</v>
      </c>
      <c r="E56" s="5">
        <v>2803</v>
      </c>
      <c r="F56" s="5">
        <v>11</v>
      </c>
      <c r="G56" s="9">
        <f t="shared" si="3"/>
        <v>254.81818181818181</v>
      </c>
      <c r="H56" s="10">
        <f t="shared" si="4"/>
        <v>0.70782828282828281</v>
      </c>
      <c r="I56" s="10"/>
      <c r="J56" s="1">
        <v>2</v>
      </c>
      <c r="K56" s="11">
        <v>3</v>
      </c>
      <c r="L56" s="1">
        <v>3</v>
      </c>
      <c r="M56" s="1">
        <v>2</v>
      </c>
      <c r="N56" s="1">
        <v>1</v>
      </c>
      <c r="O56" s="1">
        <v>1</v>
      </c>
      <c r="P56" s="1">
        <v>2</v>
      </c>
      <c r="Q56" s="1">
        <v>2</v>
      </c>
      <c r="R56" s="12">
        <v>2</v>
      </c>
      <c r="S56" s="5">
        <f t="shared" si="5"/>
        <v>18</v>
      </c>
    </row>
    <row r="57" spans="1:19">
      <c r="A57" s="14">
        <v>7</v>
      </c>
      <c r="B57" s="19">
        <v>45497</v>
      </c>
      <c r="C57" s="15" t="s">
        <v>62</v>
      </c>
      <c r="D57" s="1">
        <v>9</v>
      </c>
      <c r="E57" s="5">
        <v>14534</v>
      </c>
      <c r="F57" s="5">
        <v>11</v>
      </c>
      <c r="G57" s="9">
        <f t="shared" si="3"/>
        <v>1321.2727272727273</v>
      </c>
      <c r="H57" s="10">
        <f t="shared" si="4"/>
        <v>3.6702020202020202</v>
      </c>
      <c r="I57" s="10"/>
      <c r="J57" s="1">
        <v>3</v>
      </c>
      <c r="K57" s="11">
        <v>3</v>
      </c>
      <c r="L57" s="1">
        <v>3</v>
      </c>
      <c r="M57" s="1">
        <v>3</v>
      </c>
      <c r="N57" s="1">
        <v>2</v>
      </c>
      <c r="O57" s="1">
        <v>2</v>
      </c>
      <c r="P57" s="1">
        <v>3</v>
      </c>
      <c r="Q57" s="1">
        <v>3</v>
      </c>
      <c r="R57" s="12">
        <v>3</v>
      </c>
      <c r="S57" s="5">
        <f t="shared" si="5"/>
        <v>25</v>
      </c>
    </row>
    <row r="58" spans="1:19">
      <c r="A58" s="14">
        <v>9</v>
      </c>
      <c r="B58" s="19">
        <v>45497</v>
      </c>
      <c r="C58" s="15" t="s">
        <v>63</v>
      </c>
      <c r="D58" s="1">
        <v>9</v>
      </c>
      <c r="E58" s="5">
        <v>15836</v>
      </c>
      <c r="F58" s="5">
        <v>19</v>
      </c>
      <c r="G58" s="9">
        <f t="shared" si="3"/>
        <v>833.47368421052636</v>
      </c>
      <c r="H58" s="10">
        <f t="shared" si="4"/>
        <v>2.3152046783625733</v>
      </c>
      <c r="I58" s="10"/>
      <c r="J58" s="1">
        <v>3</v>
      </c>
      <c r="K58" s="11">
        <v>3</v>
      </c>
      <c r="L58" s="1">
        <v>3</v>
      </c>
      <c r="M58" s="1">
        <v>2</v>
      </c>
      <c r="N58" s="1">
        <v>2</v>
      </c>
      <c r="O58" s="1">
        <v>3</v>
      </c>
      <c r="P58" s="1">
        <v>3</v>
      </c>
      <c r="Q58" s="1">
        <v>3</v>
      </c>
      <c r="R58" s="12">
        <v>3</v>
      </c>
      <c r="S58" s="5">
        <f t="shared" si="5"/>
        <v>25</v>
      </c>
    </row>
    <row r="59" spans="1:19">
      <c r="A59" s="14">
        <v>10</v>
      </c>
      <c r="B59" s="19">
        <v>45610</v>
      </c>
      <c r="C59" s="15" t="s">
        <v>64</v>
      </c>
      <c r="D59" s="1">
        <v>9</v>
      </c>
      <c r="E59" s="5">
        <v>8619</v>
      </c>
      <c r="F59" s="5">
        <v>5</v>
      </c>
      <c r="G59" s="9">
        <f t="shared" si="3"/>
        <v>1723.8</v>
      </c>
      <c r="H59" s="10">
        <f t="shared" si="4"/>
        <v>4.7883333333333331</v>
      </c>
      <c r="I59" s="10"/>
      <c r="J59" s="1">
        <v>3</v>
      </c>
      <c r="K59" s="11">
        <v>3</v>
      </c>
      <c r="L59" s="1">
        <v>3</v>
      </c>
      <c r="M59" s="1">
        <v>3</v>
      </c>
      <c r="N59" s="1">
        <v>2</v>
      </c>
      <c r="O59" s="1">
        <v>2</v>
      </c>
      <c r="P59" s="1">
        <v>3</v>
      </c>
      <c r="Q59" s="1">
        <v>3</v>
      </c>
      <c r="R59" s="12">
        <v>3</v>
      </c>
      <c r="S59" s="5">
        <f t="shared" si="5"/>
        <v>25</v>
      </c>
    </row>
    <row r="60" spans="1:19">
      <c r="A60" s="14">
        <v>11</v>
      </c>
      <c r="B60" s="19">
        <v>45610</v>
      </c>
      <c r="C60" s="15" t="s">
        <v>65</v>
      </c>
      <c r="D60" s="1">
        <v>9</v>
      </c>
      <c r="E60" s="5">
        <v>15374</v>
      </c>
      <c r="F60" s="20">
        <v>23</v>
      </c>
      <c r="G60" s="9">
        <f>E60/19</f>
        <v>809.15789473684208</v>
      </c>
      <c r="H60" s="10">
        <f t="shared" si="4"/>
        <v>2.2476608187134501</v>
      </c>
      <c r="I60" s="10"/>
      <c r="J60" s="1">
        <v>3</v>
      </c>
      <c r="K60" s="11">
        <v>3</v>
      </c>
      <c r="L60" s="1">
        <v>3</v>
      </c>
      <c r="M60" s="1">
        <v>3</v>
      </c>
      <c r="N60" s="1">
        <v>2</v>
      </c>
      <c r="O60" s="1">
        <v>2</v>
      </c>
      <c r="P60" s="1">
        <v>3</v>
      </c>
      <c r="Q60" s="1">
        <v>3</v>
      </c>
      <c r="R60" s="12">
        <v>3</v>
      </c>
      <c r="S60" s="5">
        <f t="shared" si="5"/>
        <v>25</v>
      </c>
    </row>
    <row r="61" spans="1:19">
      <c r="A61" s="14">
        <v>12</v>
      </c>
      <c r="B61" s="19">
        <v>45497</v>
      </c>
      <c r="C61" s="15" t="s">
        <v>66</v>
      </c>
      <c r="D61" s="1">
        <v>9</v>
      </c>
      <c r="E61" s="5">
        <v>18621</v>
      </c>
      <c r="F61" s="5">
        <v>11</v>
      </c>
      <c r="G61" s="9">
        <f t="shared" ref="G61:G69" si="6">E61/F61</f>
        <v>1692.8181818181818</v>
      </c>
      <c r="H61" s="10">
        <f t="shared" si="4"/>
        <v>4.7022727272727272</v>
      </c>
      <c r="I61" s="10"/>
      <c r="J61" s="1">
        <v>3</v>
      </c>
      <c r="K61" s="11">
        <v>3</v>
      </c>
      <c r="L61" s="1">
        <v>3</v>
      </c>
      <c r="M61" s="1">
        <v>3</v>
      </c>
      <c r="N61" s="1">
        <v>2</v>
      </c>
      <c r="O61" s="1">
        <v>2</v>
      </c>
      <c r="P61" s="1">
        <v>3</v>
      </c>
      <c r="Q61" s="1">
        <v>2</v>
      </c>
      <c r="R61" s="12">
        <v>3</v>
      </c>
      <c r="S61" s="5">
        <f t="shared" si="5"/>
        <v>24</v>
      </c>
    </row>
    <row r="62" spans="1:19">
      <c r="A62" s="14">
        <v>14</v>
      </c>
      <c r="B62" s="19">
        <v>45497</v>
      </c>
      <c r="C62" s="15" t="s">
        <v>67</v>
      </c>
      <c r="D62" s="1">
        <v>9</v>
      </c>
      <c r="E62" s="5">
        <v>22169</v>
      </c>
      <c r="F62" s="5">
        <v>13</v>
      </c>
      <c r="G62" s="9">
        <f t="shared" si="6"/>
        <v>1705.3076923076924</v>
      </c>
      <c r="H62" s="10">
        <f t="shared" si="4"/>
        <v>4.7369658119658125</v>
      </c>
      <c r="I62" s="10"/>
      <c r="J62" s="1">
        <v>3</v>
      </c>
      <c r="K62" s="11">
        <v>3</v>
      </c>
      <c r="L62" s="1">
        <v>3</v>
      </c>
      <c r="M62" s="1">
        <v>3</v>
      </c>
      <c r="N62" s="1">
        <v>2</v>
      </c>
      <c r="O62" s="1">
        <v>2</v>
      </c>
      <c r="P62" s="1">
        <v>3</v>
      </c>
      <c r="Q62" s="1">
        <v>2</v>
      </c>
      <c r="R62" s="12">
        <v>3</v>
      </c>
      <c r="S62" s="5">
        <f t="shared" si="5"/>
        <v>24</v>
      </c>
    </row>
    <row r="63" spans="1:19">
      <c r="A63" s="14">
        <v>15</v>
      </c>
      <c r="B63" s="19">
        <v>45497</v>
      </c>
      <c r="C63" s="15" t="s">
        <v>68</v>
      </c>
      <c r="D63" s="1">
        <v>9</v>
      </c>
      <c r="E63" s="5">
        <v>15705</v>
      </c>
      <c r="F63" s="5">
        <v>7</v>
      </c>
      <c r="G63" s="9">
        <f t="shared" si="6"/>
        <v>2243.5714285714284</v>
      </c>
      <c r="H63" s="10">
        <f t="shared" si="4"/>
        <v>6.2321428571428568</v>
      </c>
      <c r="I63" s="10"/>
      <c r="J63" s="1">
        <v>3</v>
      </c>
      <c r="K63" s="11">
        <v>3</v>
      </c>
      <c r="L63" s="1">
        <v>3</v>
      </c>
      <c r="M63" s="1">
        <v>3</v>
      </c>
      <c r="N63" s="1">
        <v>2</v>
      </c>
      <c r="O63" s="1">
        <v>2</v>
      </c>
      <c r="P63" s="1">
        <v>3</v>
      </c>
      <c r="Q63" s="1">
        <v>3</v>
      </c>
      <c r="R63" s="12">
        <v>3</v>
      </c>
      <c r="S63" s="5">
        <f t="shared" si="5"/>
        <v>25</v>
      </c>
    </row>
    <row r="64" spans="1:19">
      <c r="A64" s="14">
        <v>17</v>
      </c>
      <c r="B64" s="19">
        <v>45497</v>
      </c>
      <c r="C64" s="15" t="s">
        <v>101</v>
      </c>
      <c r="D64" s="1">
        <v>9</v>
      </c>
      <c r="E64" s="5">
        <v>4246</v>
      </c>
      <c r="F64" s="5">
        <v>19</v>
      </c>
      <c r="G64" s="9">
        <f t="shared" si="6"/>
        <v>223.47368421052633</v>
      </c>
      <c r="H64" s="10">
        <f t="shared" si="4"/>
        <v>0.62076023391812873</v>
      </c>
      <c r="I64" s="10"/>
      <c r="J64" s="1">
        <v>2</v>
      </c>
      <c r="K64" s="11">
        <v>3</v>
      </c>
      <c r="L64" s="1">
        <v>3</v>
      </c>
      <c r="M64" s="1">
        <v>2</v>
      </c>
      <c r="N64" s="1">
        <v>1</v>
      </c>
      <c r="O64" s="1">
        <v>1</v>
      </c>
      <c r="P64" s="11">
        <v>3</v>
      </c>
      <c r="Q64" s="1">
        <v>3</v>
      </c>
      <c r="R64" s="12">
        <v>3</v>
      </c>
      <c r="S64" s="5">
        <f t="shared" si="5"/>
        <v>21</v>
      </c>
    </row>
    <row r="65" spans="1:19">
      <c r="A65" s="14">
        <v>18</v>
      </c>
      <c r="B65" s="18">
        <v>45497</v>
      </c>
      <c r="C65" s="16" t="s">
        <v>69</v>
      </c>
      <c r="D65" s="1">
        <v>9</v>
      </c>
      <c r="E65" s="5">
        <v>4573</v>
      </c>
      <c r="F65" s="5">
        <v>11</v>
      </c>
      <c r="G65" s="9">
        <f t="shared" si="6"/>
        <v>415.72727272727275</v>
      </c>
      <c r="H65" s="10">
        <f t="shared" si="4"/>
        <v>1.1547979797979799</v>
      </c>
      <c r="I65" s="10"/>
      <c r="J65" s="1">
        <v>2</v>
      </c>
      <c r="K65" s="11">
        <v>3</v>
      </c>
      <c r="L65" s="1">
        <v>3</v>
      </c>
      <c r="M65" s="1">
        <v>2</v>
      </c>
      <c r="N65" s="1">
        <v>1</v>
      </c>
      <c r="O65" s="1">
        <v>1</v>
      </c>
      <c r="P65" s="11">
        <v>3</v>
      </c>
      <c r="Q65" s="1">
        <v>3</v>
      </c>
      <c r="R65" s="12">
        <v>3</v>
      </c>
      <c r="S65" s="5">
        <f t="shared" si="5"/>
        <v>21</v>
      </c>
    </row>
    <row r="66" spans="1:19">
      <c r="A66" s="14">
        <v>20</v>
      </c>
      <c r="B66" s="19">
        <v>45610</v>
      </c>
      <c r="C66" s="15" t="s">
        <v>70</v>
      </c>
      <c r="D66" s="1">
        <v>9</v>
      </c>
      <c r="E66" s="5">
        <v>5279</v>
      </c>
      <c r="F66" s="5">
        <v>11</v>
      </c>
      <c r="G66" s="9">
        <f t="shared" si="6"/>
        <v>479.90909090909093</v>
      </c>
      <c r="H66" s="10">
        <f t="shared" si="4"/>
        <v>1.3330808080808081</v>
      </c>
      <c r="I66" s="10"/>
      <c r="J66" s="1">
        <v>2</v>
      </c>
      <c r="K66" s="11">
        <v>3</v>
      </c>
      <c r="L66" s="1">
        <v>3</v>
      </c>
      <c r="M66" s="1">
        <v>2</v>
      </c>
      <c r="N66" s="1">
        <v>1</v>
      </c>
      <c r="O66" s="1">
        <v>2</v>
      </c>
      <c r="P66" s="1">
        <v>3</v>
      </c>
      <c r="Q66" s="1">
        <v>3</v>
      </c>
      <c r="R66" s="12">
        <v>3</v>
      </c>
      <c r="S66" s="5">
        <f t="shared" si="5"/>
        <v>22</v>
      </c>
    </row>
    <row r="67" spans="1:19">
      <c r="A67" s="14">
        <v>21</v>
      </c>
      <c r="B67" s="19">
        <v>45498</v>
      </c>
      <c r="C67" s="15" t="s">
        <v>71</v>
      </c>
      <c r="D67" s="1">
        <v>9</v>
      </c>
      <c r="E67" s="5">
        <v>3549</v>
      </c>
      <c r="F67" s="5">
        <v>15</v>
      </c>
      <c r="G67" s="9">
        <f t="shared" si="6"/>
        <v>236.6</v>
      </c>
      <c r="H67" s="10">
        <f t="shared" si="4"/>
        <v>0.65722222222222215</v>
      </c>
      <c r="I67" s="10"/>
      <c r="J67" s="1">
        <v>2</v>
      </c>
      <c r="K67" s="11">
        <v>3</v>
      </c>
      <c r="L67" s="1">
        <v>3</v>
      </c>
      <c r="M67" s="1">
        <v>2</v>
      </c>
      <c r="N67" s="1">
        <v>1</v>
      </c>
      <c r="O67" s="1">
        <v>1</v>
      </c>
      <c r="P67" s="1">
        <v>3</v>
      </c>
      <c r="Q67" s="1">
        <v>3</v>
      </c>
      <c r="R67" s="12">
        <v>3</v>
      </c>
      <c r="S67" s="5">
        <f t="shared" si="5"/>
        <v>21</v>
      </c>
    </row>
    <row r="68" spans="1:19">
      <c r="A68" s="14">
        <v>24</v>
      </c>
      <c r="B68" s="19">
        <v>45497</v>
      </c>
      <c r="C68" s="15" t="s">
        <v>72</v>
      </c>
      <c r="D68" s="1">
        <v>9</v>
      </c>
      <c r="E68" s="5">
        <v>4488</v>
      </c>
      <c r="F68" s="5">
        <v>15</v>
      </c>
      <c r="G68" s="9">
        <f t="shared" si="6"/>
        <v>299.2</v>
      </c>
      <c r="H68" s="10">
        <f t="shared" ref="H68:H99" si="7">G68/$H$2</f>
        <v>0.83111111111111113</v>
      </c>
      <c r="I68" s="10"/>
      <c r="J68" s="1">
        <v>2</v>
      </c>
      <c r="K68" s="11">
        <v>3</v>
      </c>
      <c r="L68" s="1">
        <v>3</v>
      </c>
      <c r="M68" s="1">
        <v>3</v>
      </c>
      <c r="N68" s="1">
        <v>1</v>
      </c>
      <c r="O68" s="1">
        <v>1</v>
      </c>
      <c r="P68" s="1">
        <v>3</v>
      </c>
      <c r="Q68" s="1">
        <v>3</v>
      </c>
      <c r="R68" s="12">
        <v>3</v>
      </c>
      <c r="S68" s="5">
        <f t="shared" ref="S68:S99" si="8">SUM(J68:R68)</f>
        <v>22</v>
      </c>
    </row>
    <row r="69" spans="1:19">
      <c r="A69" s="14">
        <v>25</v>
      </c>
      <c r="B69" s="19">
        <v>45497</v>
      </c>
      <c r="C69" s="15" t="s">
        <v>73</v>
      </c>
      <c r="D69" s="1">
        <v>9</v>
      </c>
      <c r="E69" s="5">
        <v>2567</v>
      </c>
      <c r="F69" s="5">
        <v>15</v>
      </c>
      <c r="G69" s="9">
        <f t="shared" si="6"/>
        <v>171.13333333333333</v>
      </c>
      <c r="H69" s="10">
        <f t="shared" si="7"/>
        <v>0.47537037037037033</v>
      </c>
      <c r="I69" s="10"/>
      <c r="J69" s="1">
        <v>2</v>
      </c>
      <c r="K69" s="11">
        <v>3</v>
      </c>
      <c r="L69" s="1">
        <v>3</v>
      </c>
      <c r="M69" s="1">
        <v>2</v>
      </c>
      <c r="N69" s="1">
        <v>1</v>
      </c>
      <c r="O69" s="1">
        <v>1</v>
      </c>
      <c r="P69" s="1">
        <v>3</v>
      </c>
      <c r="Q69" s="1">
        <v>3</v>
      </c>
      <c r="R69" s="12">
        <v>3</v>
      </c>
      <c r="S69" s="5">
        <f t="shared" si="8"/>
        <v>21</v>
      </c>
    </row>
    <row r="70" spans="1:19" ht="15.6">
      <c r="A70" s="14">
        <v>92</v>
      </c>
      <c r="B70" s="19">
        <v>46012</v>
      </c>
      <c r="C70" s="15" t="s">
        <v>74</v>
      </c>
      <c r="D70" s="1">
        <v>9</v>
      </c>
      <c r="E70" s="5">
        <v>5840</v>
      </c>
      <c r="F70" s="20">
        <v>17</v>
      </c>
      <c r="G70" s="9">
        <f>E70/11</f>
        <v>530.90909090909088</v>
      </c>
      <c r="H70" s="10">
        <f t="shared" si="7"/>
        <v>1.4747474747474747</v>
      </c>
      <c r="I70" s="43" t="s">
        <v>23</v>
      </c>
      <c r="J70" s="1">
        <v>3</v>
      </c>
      <c r="K70" s="11">
        <v>3</v>
      </c>
      <c r="L70" s="1">
        <v>3</v>
      </c>
      <c r="M70" s="1">
        <v>2</v>
      </c>
      <c r="N70" s="1">
        <v>1</v>
      </c>
      <c r="O70" s="1">
        <v>1</v>
      </c>
      <c r="P70" s="1">
        <v>3</v>
      </c>
      <c r="Q70" s="1">
        <v>3</v>
      </c>
      <c r="R70" s="12">
        <v>3</v>
      </c>
      <c r="S70" s="5">
        <f t="shared" si="8"/>
        <v>22</v>
      </c>
    </row>
    <row r="71" spans="1:19">
      <c r="A71" s="14">
        <v>28</v>
      </c>
      <c r="B71" s="19">
        <v>45610</v>
      </c>
      <c r="C71" s="15" t="s">
        <v>75</v>
      </c>
      <c r="D71" s="1">
        <v>9</v>
      </c>
      <c r="E71" s="5">
        <v>1389</v>
      </c>
      <c r="F71" s="5">
        <v>7</v>
      </c>
      <c r="G71" s="9">
        <f>E71/F71</f>
        <v>198.42857142857142</v>
      </c>
      <c r="H71" s="10">
        <f t="shared" si="7"/>
        <v>0.55119047619047612</v>
      </c>
      <c r="I71" s="10"/>
      <c r="J71" s="1">
        <v>1</v>
      </c>
      <c r="K71" s="11">
        <v>3</v>
      </c>
      <c r="L71" s="1">
        <v>3</v>
      </c>
      <c r="M71" s="1">
        <v>2</v>
      </c>
      <c r="N71" s="1">
        <v>1</v>
      </c>
      <c r="O71" s="1">
        <v>3</v>
      </c>
      <c r="P71" s="1">
        <v>2</v>
      </c>
      <c r="Q71" s="1">
        <v>3</v>
      </c>
      <c r="R71" s="12">
        <v>3</v>
      </c>
      <c r="S71" s="5">
        <f t="shared" si="8"/>
        <v>21</v>
      </c>
    </row>
    <row r="72" spans="1:19">
      <c r="A72" s="14">
        <v>30</v>
      </c>
      <c r="B72" s="19">
        <v>45497</v>
      </c>
      <c r="C72" s="15" t="s">
        <v>76</v>
      </c>
      <c r="D72" s="1">
        <v>9</v>
      </c>
      <c r="E72" s="5">
        <v>1503</v>
      </c>
      <c r="F72" s="5">
        <v>15</v>
      </c>
      <c r="G72" s="9">
        <f>E72/F72</f>
        <v>100.2</v>
      </c>
      <c r="H72" s="10">
        <f t="shared" si="7"/>
        <v>0.27833333333333332</v>
      </c>
      <c r="I72" s="10"/>
      <c r="J72" s="1">
        <v>1</v>
      </c>
      <c r="K72" s="11">
        <v>3</v>
      </c>
      <c r="L72" s="1">
        <v>3</v>
      </c>
      <c r="M72" s="1">
        <v>2</v>
      </c>
      <c r="N72" s="1">
        <v>1</v>
      </c>
      <c r="O72" s="1">
        <v>1</v>
      </c>
      <c r="P72" s="1">
        <v>2</v>
      </c>
      <c r="Q72" s="1">
        <v>3</v>
      </c>
      <c r="R72" s="12">
        <v>3</v>
      </c>
      <c r="S72" s="5">
        <f t="shared" si="8"/>
        <v>19</v>
      </c>
    </row>
    <row r="73" spans="1:19">
      <c r="A73" s="14">
        <v>31</v>
      </c>
      <c r="B73" s="19">
        <v>45610</v>
      </c>
      <c r="C73" s="15" t="s">
        <v>77</v>
      </c>
      <c r="D73" s="1">
        <v>9</v>
      </c>
      <c r="E73" s="5">
        <v>1927</v>
      </c>
      <c r="F73" s="5">
        <v>11</v>
      </c>
      <c r="G73" s="9">
        <f>E73/F73</f>
        <v>175.18181818181819</v>
      </c>
      <c r="H73" s="10">
        <f t="shared" si="7"/>
        <v>0.48661616161616161</v>
      </c>
      <c r="I73" s="10"/>
      <c r="J73" s="1">
        <v>2</v>
      </c>
      <c r="K73" s="11">
        <v>3</v>
      </c>
      <c r="L73" s="1">
        <v>3</v>
      </c>
      <c r="M73" s="1">
        <v>2</v>
      </c>
      <c r="N73" s="1">
        <v>1</v>
      </c>
      <c r="O73" s="1">
        <v>1</v>
      </c>
      <c r="P73" s="1">
        <v>3</v>
      </c>
      <c r="Q73" s="1">
        <v>3</v>
      </c>
      <c r="R73" s="12">
        <v>3</v>
      </c>
      <c r="S73" s="5">
        <f t="shared" si="8"/>
        <v>21</v>
      </c>
    </row>
    <row r="74" spans="1:19">
      <c r="A74" s="14">
        <v>35</v>
      </c>
      <c r="B74" s="19">
        <v>45497</v>
      </c>
      <c r="C74" s="15" t="s">
        <v>78</v>
      </c>
      <c r="D74" s="1">
        <v>9</v>
      </c>
      <c r="E74" s="5">
        <v>2367</v>
      </c>
      <c r="F74" s="5">
        <v>11</v>
      </c>
      <c r="G74" s="9">
        <f>E74/F74</f>
        <v>215.18181818181819</v>
      </c>
      <c r="H74" s="10">
        <f t="shared" si="7"/>
        <v>0.59772727272727277</v>
      </c>
      <c r="I74" s="10"/>
      <c r="J74" s="1">
        <v>2</v>
      </c>
      <c r="K74" s="11">
        <v>3</v>
      </c>
      <c r="L74" s="1">
        <v>3</v>
      </c>
      <c r="M74" s="1">
        <v>2</v>
      </c>
      <c r="N74" s="1">
        <v>1</v>
      </c>
      <c r="O74" s="1">
        <v>1</v>
      </c>
      <c r="P74" s="1">
        <v>2</v>
      </c>
      <c r="Q74" s="1">
        <v>3</v>
      </c>
      <c r="R74" s="12">
        <v>3</v>
      </c>
      <c r="S74" s="5">
        <f t="shared" si="8"/>
        <v>20</v>
      </c>
    </row>
    <row r="75" spans="1:19">
      <c r="A75" s="14">
        <v>76</v>
      </c>
      <c r="B75" s="19">
        <v>45610</v>
      </c>
      <c r="C75" s="15" t="s">
        <v>79</v>
      </c>
      <c r="D75" s="1">
        <v>8</v>
      </c>
      <c r="E75" s="5">
        <v>3166</v>
      </c>
      <c r="F75" s="5">
        <v>15</v>
      </c>
      <c r="G75" s="9">
        <f>E75/F75</f>
        <v>211.06666666666666</v>
      </c>
      <c r="H75" s="10">
        <f t="shared" si="7"/>
        <v>0.58629629629629632</v>
      </c>
      <c r="I75" s="10"/>
      <c r="J75" s="1">
        <v>2</v>
      </c>
      <c r="K75" s="11">
        <v>3</v>
      </c>
      <c r="L75" s="1">
        <v>1</v>
      </c>
      <c r="M75" s="1">
        <v>2</v>
      </c>
      <c r="N75" s="1">
        <v>1</v>
      </c>
      <c r="O75" s="1">
        <v>3</v>
      </c>
      <c r="P75" s="1">
        <v>3</v>
      </c>
      <c r="Q75" s="1">
        <v>2</v>
      </c>
      <c r="R75" s="12">
        <v>3</v>
      </c>
      <c r="S75" s="5">
        <f t="shared" si="8"/>
        <v>20</v>
      </c>
    </row>
    <row r="76" spans="1:19" ht="26.25" customHeight="1">
      <c r="F76" s="21" t="s">
        <v>80</v>
      </c>
    </row>
    <row r="77" spans="1:19" ht="54.75" customHeight="1">
      <c r="C77" s="17" t="s">
        <v>81</v>
      </c>
    </row>
    <row r="78" spans="1:19">
      <c r="A78" s="14">
        <v>88</v>
      </c>
      <c r="B78" s="18">
        <v>45747</v>
      </c>
      <c r="C78" s="16" t="s">
        <v>82</v>
      </c>
      <c r="D78" s="1">
        <v>3</v>
      </c>
      <c r="E78" s="5">
        <v>1481</v>
      </c>
      <c r="F78" s="26">
        <v>11</v>
      </c>
      <c r="G78" s="9">
        <f>E78/F78</f>
        <v>134.63636363636363</v>
      </c>
      <c r="H78" s="10">
        <f>G78/182</f>
        <v>0.73976023976023975</v>
      </c>
      <c r="I78" s="10"/>
      <c r="J78" s="5"/>
      <c r="K78" s="22">
        <v>2</v>
      </c>
      <c r="L78" s="22">
        <v>1</v>
      </c>
      <c r="M78" s="24">
        <v>3</v>
      </c>
      <c r="N78" s="22"/>
      <c r="O78" s="22"/>
      <c r="P78" s="22"/>
      <c r="Q78" s="22"/>
      <c r="R78" s="22"/>
      <c r="S78" s="25"/>
    </row>
    <row r="79" spans="1:19" ht="15.6">
      <c r="A79" s="14">
        <v>50</v>
      </c>
      <c r="B79" s="18">
        <v>45916</v>
      </c>
      <c r="C79" s="16" t="s">
        <v>103</v>
      </c>
      <c r="D79" s="1">
        <v>9</v>
      </c>
      <c r="E79" s="5">
        <v>15</v>
      </c>
      <c r="F79" s="26">
        <v>11</v>
      </c>
      <c r="G79" s="9">
        <f t="shared" ref="G79:G84" si="9">E79/F79</f>
        <v>1.3636363636363635</v>
      </c>
      <c r="H79" s="10">
        <f>G79/15</f>
        <v>9.0909090909090898E-2</v>
      </c>
      <c r="I79" s="43" t="s">
        <v>23</v>
      </c>
      <c r="J79" s="30"/>
      <c r="K79" s="31">
        <v>3</v>
      </c>
      <c r="L79" s="31">
        <v>1</v>
      </c>
      <c r="M79" s="32"/>
      <c r="N79" s="31"/>
      <c r="O79" s="31"/>
      <c r="P79" s="31"/>
      <c r="Q79" s="31"/>
      <c r="R79" s="31"/>
      <c r="S79" s="33"/>
    </row>
    <row r="80" spans="1:19" ht="15.6">
      <c r="A80" s="14">
        <v>94</v>
      </c>
      <c r="B80" s="18">
        <v>46028</v>
      </c>
      <c r="C80" s="16" t="s">
        <v>83</v>
      </c>
      <c r="D80" s="1"/>
      <c r="E80" s="41"/>
      <c r="F80" s="26">
        <v>11</v>
      </c>
      <c r="G80" s="9">
        <f t="shared" si="9"/>
        <v>0</v>
      </c>
      <c r="H80" s="44">
        <f t="shared" ref="H80:H84" si="10">G80/$H$2</f>
        <v>0</v>
      </c>
      <c r="I80" s="43" t="s">
        <v>23</v>
      </c>
      <c r="J80" s="27"/>
      <c r="K80" s="5">
        <v>3</v>
      </c>
      <c r="L80" s="5">
        <v>3</v>
      </c>
      <c r="M80" s="5"/>
      <c r="N80" s="5"/>
      <c r="O80" s="5"/>
      <c r="P80" s="5"/>
      <c r="Q80" s="5"/>
      <c r="R80" s="5"/>
      <c r="S80" s="5"/>
    </row>
    <row r="81" spans="1:19" ht="15.6">
      <c r="A81" s="14">
        <v>91</v>
      </c>
      <c r="B81" s="18">
        <v>45973</v>
      </c>
      <c r="C81" s="16" t="s">
        <v>84</v>
      </c>
      <c r="D81" s="1">
        <v>3</v>
      </c>
      <c r="E81" s="41"/>
      <c r="F81" s="26">
        <v>15</v>
      </c>
      <c r="G81" s="9">
        <f t="shared" si="9"/>
        <v>0</v>
      </c>
      <c r="H81" s="10">
        <f t="shared" si="10"/>
        <v>0</v>
      </c>
      <c r="I81" s="43" t="s">
        <v>23</v>
      </c>
      <c r="J81" s="34"/>
      <c r="K81" s="35">
        <v>3</v>
      </c>
      <c r="L81" s="35">
        <v>3</v>
      </c>
      <c r="M81" s="36"/>
      <c r="N81" s="35"/>
      <c r="O81" s="35"/>
      <c r="P81" s="35"/>
      <c r="Q81" s="35"/>
      <c r="R81" s="35"/>
      <c r="S81" s="37"/>
    </row>
    <row r="82" spans="1:19" ht="15.6">
      <c r="A82" s="14">
        <v>90</v>
      </c>
      <c r="B82" s="18">
        <v>45973</v>
      </c>
      <c r="C82" s="16" t="s">
        <v>85</v>
      </c>
      <c r="D82" s="1">
        <v>9</v>
      </c>
      <c r="E82" s="41"/>
      <c r="F82" s="26">
        <v>17</v>
      </c>
      <c r="G82" s="9">
        <f t="shared" si="9"/>
        <v>0</v>
      </c>
      <c r="H82" s="10">
        <f t="shared" si="10"/>
        <v>0</v>
      </c>
      <c r="I82" s="43" t="s">
        <v>23</v>
      </c>
      <c r="J82" s="5"/>
      <c r="K82" s="22">
        <v>3</v>
      </c>
      <c r="L82" s="22">
        <v>2</v>
      </c>
      <c r="M82" s="24"/>
      <c r="N82" s="22"/>
      <c r="O82" s="22"/>
      <c r="P82" s="22"/>
      <c r="Q82" s="22"/>
      <c r="R82" s="22"/>
      <c r="S82" s="25"/>
    </row>
    <row r="83" spans="1:19">
      <c r="A83" s="14">
        <v>22</v>
      </c>
      <c r="B83" s="18">
        <v>45841</v>
      </c>
      <c r="C83" s="16" t="s">
        <v>102</v>
      </c>
      <c r="D83" s="1"/>
      <c r="E83" s="5">
        <v>490</v>
      </c>
      <c r="F83" s="26">
        <v>11</v>
      </c>
      <c r="G83" s="9">
        <f t="shared" si="9"/>
        <v>44.545454545454547</v>
      </c>
      <c r="H83" s="10">
        <f>G83/90</f>
        <v>0.49494949494949497</v>
      </c>
      <c r="I83" s="10"/>
      <c r="J83" s="5"/>
      <c r="K83" s="27">
        <v>3</v>
      </c>
      <c r="L83" s="5">
        <v>3</v>
      </c>
      <c r="M83" s="5"/>
      <c r="N83" s="5"/>
      <c r="O83" s="5"/>
      <c r="P83" s="5"/>
      <c r="Q83" s="5"/>
      <c r="R83" s="5"/>
      <c r="S83" s="5"/>
    </row>
    <row r="84" spans="1:19">
      <c r="A84" s="14">
        <v>93</v>
      </c>
      <c r="B84" s="18">
        <v>46022</v>
      </c>
      <c r="C84" s="16" t="s">
        <v>86</v>
      </c>
      <c r="D84" s="1">
        <v>1</v>
      </c>
      <c r="E84" s="41"/>
      <c r="F84" s="26">
        <v>11</v>
      </c>
      <c r="G84" s="9">
        <f t="shared" si="9"/>
        <v>0</v>
      </c>
      <c r="H84" s="10">
        <f t="shared" si="10"/>
        <v>0</v>
      </c>
      <c r="I84" s="10"/>
      <c r="J84" s="5"/>
      <c r="K84" s="23">
        <v>1</v>
      </c>
      <c r="L84" s="22">
        <v>2</v>
      </c>
      <c r="M84" s="24"/>
      <c r="N84" s="22"/>
      <c r="O84" s="22"/>
      <c r="P84" s="22"/>
      <c r="Q84" s="22"/>
      <c r="R84" s="22"/>
      <c r="S84" s="25"/>
    </row>
    <row r="85" spans="1:19" ht="33" customHeight="1">
      <c r="E85">
        <f>SUM(E4:E84)</f>
        <v>368055</v>
      </c>
    </row>
    <row r="86" spans="1:19" ht="54" customHeight="1">
      <c r="C86" s="29" t="s">
        <v>87</v>
      </c>
      <c r="D86" s="38">
        <v>7.0000000000000007E-2</v>
      </c>
    </row>
    <row r="87" spans="1:19">
      <c r="I87" s="42"/>
    </row>
  </sheetData>
  <sortState xmlns:xlrd2="http://schemas.microsoft.com/office/spreadsheetml/2017/richdata2" ref="A4:S76">
    <sortCondition ref="C4:C76"/>
  </sortState>
  <mergeCells count="1">
    <mergeCell ref="K2:S2"/>
  </mergeCells>
  <hyperlinks>
    <hyperlink ref="C54" r:id="rId1" xr:uid="{FCE3B167-AC64-4448-9E61-D08165831574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Castillo, Kyle</cp:lastModifiedBy>
  <cp:revision/>
  <dcterms:created xsi:type="dcterms:W3CDTF">2026-02-04T21:55:17Z</dcterms:created>
  <dcterms:modified xsi:type="dcterms:W3CDTF">2026-02-24T17:30:48Z</dcterms:modified>
  <cp:category/>
  <cp:contentStatus/>
</cp:coreProperties>
</file>